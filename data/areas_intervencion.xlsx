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crdavila\Inclusión Financiera\"/>
    </mc:Choice>
  </mc:AlternateContent>
  <xr:revisionPtr revIDLastSave="0" documentId="13_ncr:1_{2DAA3B31-9629-4083-8BA6-80A23A3B58C2}" xr6:coauthVersionLast="47" xr6:coauthVersionMax="47" xr10:uidLastSave="{00000000-0000-0000-0000-000000000000}"/>
  <bookViews>
    <workbookView xWindow="-120" yWindow="-120" windowWidth="29040" windowHeight="15840" activeTab="3" xr2:uid="{5E598A90-010E-43CD-AAA8-B76B1F3B89A4}"/>
  </bookViews>
  <sheets>
    <sheet name="Intervención 1" sheetId="3" r:id="rId1"/>
    <sheet name="Intervención 1 - Anual" sheetId="7" r:id="rId2"/>
    <sheet name="Intervención 2" sheetId="4" r:id="rId3"/>
    <sheet name="Intervención 2 - MDH" sheetId="8" r:id="rId4"/>
    <sheet name="Intervención 3" sheetId="1" r:id="rId5"/>
    <sheet name="Intervención 4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3" l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5" i="3"/>
</calcChain>
</file>

<file path=xl/sharedStrings.xml><?xml version="1.0" encoding="utf-8"?>
<sst xmlns="http://schemas.openxmlformats.org/spreadsheetml/2006/main" count="248" uniqueCount="76">
  <si>
    <t>ÁREA DE INTERVENCIÓN 1: Puntos de acceso y canales</t>
  </si>
  <si>
    <t>Número de Puntos de Atención</t>
  </si>
  <si>
    <t>Cajeros Automáticos</t>
  </si>
  <si>
    <t>Corresponsales no Bancarios / Solidarios</t>
  </si>
  <si>
    <t>Empresas Auxliares</t>
  </si>
  <si>
    <t>Oficinas</t>
  </si>
  <si>
    <t>Total Puntos de Atención</t>
  </si>
  <si>
    <t>Período</t>
  </si>
  <si>
    <t>Total Corresponsales</t>
  </si>
  <si>
    <t>Corresponsales no Bancarios</t>
  </si>
  <si>
    <t>Corresponsales Solidarios</t>
  </si>
  <si>
    <t>2019 - I</t>
  </si>
  <si>
    <t>2019 - II</t>
  </si>
  <si>
    <t>2019 - III</t>
  </si>
  <si>
    <t>2019 - IV</t>
  </si>
  <si>
    <t>2020 - I</t>
  </si>
  <si>
    <t>2020 - II</t>
  </si>
  <si>
    <t>2020 - III</t>
  </si>
  <si>
    <t>2020 - IV</t>
  </si>
  <si>
    <t>2021 - I</t>
  </si>
  <si>
    <t>2021 - II</t>
  </si>
  <si>
    <t>2021 - III</t>
  </si>
  <si>
    <t>2021 - IV</t>
  </si>
  <si>
    <t>2022 - I</t>
  </si>
  <si>
    <t>2022 - II</t>
  </si>
  <si>
    <t>2022 - III</t>
  </si>
  <si>
    <t>2022 - IV</t>
  </si>
  <si>
    <t>2023 - I</t>
  </si>
  <si>
    <t>2023 - II</t>
  </si>
  <si>
    <t>2023 - III</t>
  </si>
  <si>
    <t>2023 - IV</t>
  </si>
  <si>
    <t>2024 - I</t>
  </si>
  <si>
    <t>2024 - II</t>
  </si>
  <si>
    <t>2024 - III</t>
  </si>
  <si>
    <t>2024 - IV</t>
  </si>
  <si>
    <t>2025 - I</t>
  </si>
  <si>
    <t>2025 - II</t>
  </si>
  <si>
    <t>2025 - III</t>
  </si>
  <si>
    <t>2025 - IV</t>
  </si>
  <si>
    <t>ÁREA DE INTERVENCIÓN 2: Oferta de productos y servicios financieros digitales</t>
  </si>
  <si>
    <t>Adultos que poseen una cuenta</t>
  </si>
  <si>
    <t>Mujeres que poseen una cuenta</t>
  </si>
  <si>
    <t>Población rural que posee una cuenta</t>
  </si>
  <si>
    <t>Adultos que hicieron y recibieron pagos digitales el año anterior</t>
  </si>
  <si>
    <t>Adultos que adquirieron un préstamo en una institución financiera</t>
  </si>
  <si>
    <t>Adultos que ahorraron en una institución financiera</t>
  </si>
  <si>
    <t>ÁREA DE INTERVENCIÓN 3: Financiamiento a la MiPyme e infraestructura de crédito</t>
  </si>
  <si>
    <t>Volumen de Crédito Total (millones USD)</t>
  </si>
  <si>
    <t>Volumen Credito Microcrédito</t>
  </si>
  <si>
    <t>SB Cartera de microcrédito en mora (%)</t>
  </si>
  <si>
    <t>SEPS Cartera de microcrédito en mora (%)</t>
  </si>
  <si>
    <t>SFP Cartera de microcrédito en mora (%)</t>
  </si>
  <si>
    <t>ÁREA DE INTERVENCIÓN 4: Protección al Usuario</t>
  </si>
  <si>
    <t>mes</t>
  </si>
  <si>
    <t>Quejas y reclamos resueltos SB</t>
  </si>
  <si>
    <t>Año</t>
  </si>
  <si>
    <t>SPI / PIB</t>
  </si>
  <si>
    <t>periodo</t>
  </si>
  <si>
    <t>tipo_transferencia</t>
  </si>
  <si>
    <t>edad</t>
  </si>
  <si>
    <t>total</t>
  </si>
  <si>
    <t>Bono de Desarrollo Humano</t>
  </si>
  <si>
    <t>De 18-29</t>
  </si>
  <si>
    <t>De 30-39</t>
  </si>
  <si>
    <t>De 40-49</t>
  </si>
  <si>
    <t>De 50-59</t>
  </si>
  <si>
    <t>De 60-64</t>
  </si>
  <si>
    <t>BDH con Componente Variable</t>
  </si>
  <si>
    <t>Bono 1000 Días</t>
  </si>
  <si>
    <t>Pensión Mis Mejores Años</t>
  </si>
  <si>
    <t>De 65-74</t>
  </si>
  <si>
    <t>De 75-84</t>
  </si>
  <si>
    <t>De 85-99</t>
  </si>
  <si>
    <t>Mayor o igual a 100</t>
  </si>
  <si>
    <t>Pensión Toda una Vida</t>
  </si>
  <si>
    <t>Bono Joaquín Gallegos Lara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</si>
</sst>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.0_ ;_ * \-#,##0.0_ ;_ * &quot;-&quot;??_ ;_ @_ "/>
    <numFmt numFmtId="165" formatCode="_ * #,##0_ ;_ * \-#,##0_ ;_ * &quot;-&quot;??_ ;_ @_ 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rgb="FF000000"/>
      <name val="Arial-BoldMT"/>
    </font>
    <font>
      <sz val="8"/>
      <color rgb="FF000000"/>
      <name val="Arial"/>
      <family val="2"/>
    </font>
    <font>
      <sz val="11"/>
      <color theme="0"/>
      <name val="Aptos Narrow"/>
      <family val="2"/>
      <scheme val="minor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7" fontId="0" fillId="0" borderId="0" xfId="0" applyNumberFormat="1"/>
    <xf numFmtId="43" fontId="0" fillId="0" borderId="0" xfId="1" applyFont="1"/>
    <xf numFmtId="164" fontId="0" fillId="0" borderId="0" xfId="1" applyNumberFormat="1" applyFont="1"/>
    <xf numFmtId="0" fontId="5" fillId="0" borderId="0" xfId="0" applyFont="1" applyAlignment="1">
      <alignment horizontal="left"/>
    </xf>
    <xf numFmtId="165" fontId="5" fillId="0" borderId="0" xfId="0" applyNumberFormat="1" applyFont="1"/>
    <xf numFmtId="0" fontId="6" fillId="2" borderId="0" xfId="0" applyFont="1" applyFill="1" applyAlignment="1">
      <alignment horizontal="center" vertical="center" wrapText="1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9" fontId="0" fillId="0" borderId="0" xfId="2" applyFont="1"/>
    <xf numFmtId="9" fontId="3" fillId="0" borderId="0" xfId="2" applyFont="1"/>
    <xf numFmtId="0" fontId="5" fillId="0" borderId="0" xfId="0" applyFont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0" borderId="0" xfId="0" applyFon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6A5EC-36BF-481E-AF76-3E6833AF1DE7}">
  <dimension ref="A1:I32"/>
  <sheetViews>
    <sheetView workbookViewId="0">
      <selection activeCell="J2" sqref="J2:K19"/>
    </sheetView>
  </sheetViews>
  <sheetFormatPr baseColWidth="10" defaultColWidth="11.42578125" defaultRowHeight="15"/>
  <cols>
    <col min="3" max="3" width="14.28515625" customWidth="1"/>
    <col min="4" max="4" width="13.85546875" customWidth="1"/>
    <col min="5" max="5" width="14" customWidth="1"/>
  </cols>
  <sheetData>
    <row r="1" spans="1:9">
      <c r="A1" s="1" t="s">
        <v>0</v>
      </c>
    </row>
    <row r="2" spans="1:9">
      <c r="A2" s="15" t="s">
        <v>7</v>
      </c>
      <c r="B2" s="16" t="s">
        <v>1</v>
      </c>
      <c r="C2" s="16"/>
      <c r="D2" s="16"/>
      <c r="E2" s="16"/>
      <c r="F2" s="16"/>
      <c r="G2" s="16"/>
      <c r="H2" s="16"/>
    </row>
    <row r="3" spans="1:9">
      <c r="A3" s="15"/>
      <c r="B3" s="17" t="s">
        <v>2</v>
      </c>
      <c r="C3" s="16" t="s">
        <v>3</v>
      </c>
      <c r="D3" s="16"/>
      <c r="E3" s="16"/>
      <c r="F3" s="17" t="s">
        <v>4</v>
      </c>
      <c r="G3" s="17" t="s">
        <v>5</v>
      </c>
      <c r="H3" s="17" t="s">
        <v>6</v>
      </c>
    </row>
    <row r="4" spans="1:9" ht="22.5">
      <c r="A4" s="15"/>
      <c r="B4" s="17"/>
      <c r="C4" s="11" t="s">
        <v>8</v>
      </c>
      <c r="D4" s="11" t="s">
        <v>9</v>
      </c>
      <c r="E4" s="11" t="s">
        <v>10</v>
      </c>
      <c r="F4" s="17"/>
      <c r="G4" s="17"/>
      <c r="H4" s="17"/>
    </row>
    <row r="5" spans="1:9">
      <c r="A5" s="7" t="s">
        <v>11</v>
      </c>
      <c r="B5" s="8">
        <v>5241</v>
      </c>
      <c r="C5" s="8">
        <f>+D5+E5</f>
        <v>26262</v>
      </c>
      <c r="D5" s="8">
        <v>26180</v>
      </c>
      <c r="E5" s="8">
        <v>82</v>
      </c>
      <c r="F5" s="8"/>
      <c r="G5" s="8">
        <v>3372</v>
      </c>
      <c r="H5" s="8">
        <v>34875</v>
      </c>
      <c r="I5" s="10"/>
    </row>
    <row r="6" spans="1:9">
      <c r="A6" s="7" t="s">
        <v>12</v>
      </c>
      <c r="B6" s="8">
        <v>5366</v>
      </c>
      <c r="C6" s="8">
        <f t="shared" ref="C6:C32" si="0">+D6+E6</f>
        <v>26449</v>
      </c>
      <c r="D6" s="8">
        <v>26367</v>
      </c>
      <c r="E6" s="8">
        <v>82</v>
      </c>
      <c r="F6" s="8"/>
      <c r="G6" s="8">
        <v>3375</v>
      </c>
      <c r="H6" s="8">
        <v>35190</v>
      </c>
      <c r="I6" s="10"/>
    </row>
    <row r="7" spans="1:9">
      <c r="A7" s="7" t="s">
        <v>13</v>
      </c>
      <c r="B7" s="8">
        <v>5655</v>
      </c>
      <c r="C7" s="8">
        <f t="shared" si="0"/>
        <v>27145</v>
      </c>
      <c r="D7" s="8">
        <v>26779</v>
      </c>
      <c r="E7" s="8">
        <v>366</v>
      </c>
      <c r="F7" s="8"/>
      <c r="G7" s="8">
        <v>3375</v>
      </c>
      <c r="H7" s="8">
        <v>36175</v>
      </c>
      <c r="I7" s="10"/>
    </row>
    <row r="8" spans="1:9">
      <c r="A8" s="7" t="s">
        <v>14</v>
      </c>
      <c r="B8" s="8">
        <v>5721</v>
      </c>
      <c r="C8" s="8">
        <f t="shared" si="0"/>
        <v>28035</v>
      </c>
      <c r="D8" s="8">
        <v>27641</v>
      </c>
      <c r="E8" s="8">
        <v>394</v>
      </c>
      <c r="F8" s="8"/>
      <c r="G8" s="8">
        <v>3377</v>
      </c>
      <c r="H8" s="8">
        <v>37133</v>
      </c>
      <c r="I8" s="10"/>
    </row>
    <row r="9" spans="1:9">
      <c r="A9" s="7" t="s">
        <v>15</v>
      </c>
      <c r="B9" s="8">
        <v>5784</v>
      </c>
      <c r="C9" s="8">
        <f t="shared" si="0"/>
        <v>28767</v>
      </c>
      <c r="D9" s="8">
        <v>28355</v>
      </c>
      <c r="E9" s="8">
        <v>412</v>
      </c>
      <c r="F9" s="8"/>
      <c r="G9" s="8">
        <v>3401</v>
      </c>
      <c r="H9" s="8">
        <v>37952</v>
      </c>
      <c r="I9" s="10"/>
    </row>
    <row r="10" spans="1:9">
      <c r="A10" s="7" t="s">
        <v>16</v>
      </c>
      <c r="B10" s="8">
        <v>5770</v>
      </c>
      <c r="C10" s="8">
        <f t="shared" si="0"/>
        <v>32579</v>
      </c>
      <c r="D10" s="8">
        <v>32167</v>
      </c>
      <c r="E10" s="8">
        <v>412</v>
      </c>
      <c r="F10" s="8"/>
      <c r="G10" s="8">
        <v>3417</v>
      </c>
      <c r="H10" s="8">
        <v>41766</v>
      </c>
      <c r="I10" s="10"/>
    </row>
    <row r="11" spans="1:9">
      <c r="A11" s="7" t="s">
        <v>17</v>
      </c>
      <c r="B11" s="8">
        <v>5855</v>
      </c>
      <c r="C11" s="8">
        <f t="shared" si="0"/>
        <v>33430</v>
      </c>
      <c r="D11" s="8">
        <v>32990</v>
      </c>
      <c r="E11" s="8">
        <v>440</v>
      </c>
      <c r="F11" s="8"/>
      <c r="G11" s="8">
        <v>3411</v>
      </c>
      <c r="H11" s="8">
        <v>42696</v>
      </c>
      <c r="I11" s="10"/>
    </row>
    <row r="12" spans="1:9">
      <c r="A12" s="7" t="s">
        <v>18</v>
      </c>
      <c r="B12" s="8">
        <v>6033</v>
      </c>
      <c r="C12" s="8">
        <f t="shared" si="0"/>
        <v>34529</v>
      </c>
      <c r="D12" s="8">
        <v>34077</v>
      </c>
      <c r="E12" s="8">
        <v>452</v>
      </c>
      <c r="F12" s="8"/>
      <c r="G12" s="8">
        <v>3422</v>
      </c>
      <c r="H12" s="8">
        <v>43984</v>
      </c>
      <c r="I12" s="10"/>
    </row>
    <row r="13" spans="1:9">
      <c r="A13" s="7" t="s">
        <v>19</v>
      </c>
      <c r="B13" s="8">
        <v>6084</v>
      </c>
      <c r="C13" s="8">
        <f t="shared" si="0"/>
        <v>35911</v>
      </c>
      <c r="D13" s="8">
        <v>35445</v>
      </c>
      <c r="E13" s="8">
        <v>466</v>
      </c>
      <c r="F13" s="8"/>
      <c r="G13" s="8">
        <v>3402</v>
      </c>
      <c r="H13" s="8">
        <v>45397</v>
      </c>
      <c r="I13" s="10"/>
    </row>
    <row r="14" spans="1:9">
      <c r="A14" s="7" t="s">
        <v>20</v>
      </c>
      <c r="B14" s="8">
        <v>6184</v>
      </c>
      <c r="C14" s="8">
        <f t="shared" si="0"/>
        <v>34854</v>
      </c>
      <c r="D14" s="8">
        <v>34386</v>
      </c>
      <c r="E14" s="8">
        <v>468</v>
      </c>
      <c r="F14" s="8"/>
      <c r="G14" s="8">
        <v>3397</v>
      </c>
      <c r="H14" s="8">
        <v>44435</v>
      </c>
      <c r="I14" s="10"/>
    </row>
    <row r="15" spans="1:9">
      <c r="A15" s="7" t="s">
        <v>21</v>
      </c>
      <c r="B15" s="8">
        <v>6319</v>
      </c>
      <c r="C15" s="8">
        <f t="shared" si="0"/>
        <v>29950</v>
      </c>
      <c r="D15" s="8">
        <v>29279</v>
      </c>
      <c r="E15" s="8">
        <v>671</v>
      </c>
      <c r="F15" s="8"/>
      <c r="G15" s="8">
        <v>3413</v>
      </c>
      <c r="H15" s="8">
        <v>39682</v>
      </c>
      <c r="I15" s="10"/>
    </row>
    <row r="16" spans="1:9">
      <c r="A16" s="7" t="s">
        <v>22</v>
      </c>
      <c r="B16" s="8">
        <v>6344</v>
      </c>
      <c r="C16" s="8">
        <f t="shared" si="0"/>
        <v>31428</v>
      </c>
      <c r="D16" s="8">
        <v>30626</v>
      </c>
      <c r="E16" s="8">
        <v>802</v>
      </c>
      <c r="F16" s="8"/>
      <c r="G16" s="8">
        <v>3548</v>
      </c>
      <c r="H16" s="8">
        <v>41320</v>
      </c>
      <c r="I16" s="10"/>
    </row>
    <row r="17" spans="1:9">
      <c r="A17" s="7" t="s">
        <v>23</v>
      </c>
      <c r="B17" s="8">
        <v>6383</v>
      </c>
      <c r="C17" s="8">
        <f t="shared" si="0"/>
        <v>29309</v>
      </c>
      <c r="D17" s="8">
        <v>28443</v>
      </c>
      <c r="E17" s="8">
        <v>866</v>
      </c>
      <c r="F17" s="8"/>
      <c r="G17" s="8">
        <v>6819</v>
      </c>
      <c r="H17" s="8">
        <v>42511</v>
      </c>
      <c r="I17" s="10"/>
    </row>
    <row r="18" spans="1:9">
      <c r="A18" s="7" t="s">
        <v>24</v>
      </c>
      <c r="B18" s="8">
        <v>6522</v>
      </c>
      <c r="C18" s="8">
        <f t="shared" si="0"/>
        <v>33024</v>
      </c>
      <c r="D18" s="8">
        <v>32046</v>
      </c>
      <c r="E18" s="8">
        <v>978</v>
      </c>
      <c r="F18" s="8"/>
      <c r="G18" s="8">
        <v>7026</v>
      </c>
      <c r="H18" s="8">
        <v>46572</v>
      </c>
      <c r="I18" s="10"/>
    </row>
    <row r="19" spans="1:9">
      <c r="A19" s="7" t="s">
        <v>25</v>
      </c>
      <c r="B19" s="8">
        <v>6614</v>
      </c>
      <c r="C19" s="8">
        <f t="shared" si="0"/>
        <v>36182</v>
      </c>
      <c r="D19" s="8">
        <v>35072</v>
      </c>
      <c r="E19" s="8">
        <v>1110</v>
      </c>
      <c r="F19" s="8"/>
      <c r="G19" s="8">
        <v>6566</v>
      </c>
      <c r="H19" s="8">
        <v>49362</v>
      </c>
      <c r="I19" s="10"/>
    </row>
    <row r="20" spans="1:9">
      <c r="A20" s="7" t="s">
        <v>26</v>
      </c>
      <c r="B20" s="8">
        <v>6745</v>
      </c>
      <c r="C20" s="8">
        <f t="shared" si="0"/>
        <v>39242</v>
      </c>
      <c r="D20" s="8">
        <v>38066</v>
      </c>
      <c r="E20" s="8">
        <v>1176</v>
      </c>
      <c r="F20" s="8"/>
      <c r="G20" s="8">
        <v>6747</v>
      </c>
      <c r="H20" s="8">
        <v>52734</v>
      </c>
      <c r="I20" s="10"/>
    </row>
    <row r="21" spans="1:9">
      <c r="A21" s="7" t="s">
        <v>27</v>
      </c>
      <c r="B21" s="8">
        <v>6770</v>
      </c>
      <c r="C21" s="8">
        <f t="shared" si="0"/>
        <v>38296</v>
      </c>
      <c r="D21" s="8">
        <v>37093</v>
      </c>
      <c r="E21" s="8">
        <v>1203</v>
      </c>
      <c r="F21" s="8">
        <v>2981</v>
      </c>
      <c r="G21" s="8">
        <v>3887</v>
      </c>
      <c r="H21" s="8">
        <v>51934</v>
      </c>
      <c r="I21" s="10"/>
    </row>
    <row r="22" spans="1:9">
      <c r="A22" s="7" t="s">
        <v>28</v>
      </c>
      <c r="B22" s="8">
        <v>6861</v>
      </c>
      <c r="C22" s="8">
        <f t="shared" si="0"/>
        <v>38598</v>
      </c>
      <c r="D22" s="8">
        <v>37257</v>
      </c>
      <c r="E22" s="8">
        <v>1341</v>
      </c>
      <c r="F22" s="8">
        <v>3105</v>
      </c>
      <c r="G22" s="8">
        <v>3857</v>
      </c>
      <c r="H22" s="8">
        <v>52421</v>
      </c>
      <c r="I22" s="10"/>
    </row>
    <row r="23" spans="1:9">
      <c r="A23" s="7" t="s">
        <v>29</v>
      </c>
      <c r="B23" s="8">
        <v>7026</v>
      </c>
      <c r="C23" s="8">
        <f t="shared" si="0"/>
        <v>40478</v>
      </c>
      <c r="D23" s="8">
        <v>39058</v>
      </c>
      <c r="E23" s="8">
        <v>1420</v>
      </c>
      <c r="F23" s="8">
        <v>3242</v>
      </c>
      <c r="G23" s="8">
        <v>3863</v>
      </c>
      <c r="H23" s="8">
        <v>54609</v>
      </c>
      <c r="I23" s="10"/>
    </row>
    <row r="24" spans="1:9">
      <c r="A24" s="7" t="s">
        <v>30</v>
      </c>
      <c r="B24" s="8">
        <v>7150</v>
      </c>
      <c r="C24" s="8">
        <f t="shared" si="0"/>
        <v>41699</v>
      </c>
      <c r="D24" s="8">
        <v>40236</v>
      </c>
      <c r="E24" s="8">
        <v>1463</v>
      </c>
      <c r="F24" s="8">
        <v>3125</v>
      </c>
      <c r="G24" s="8">
        <v>3857</v>
      </c>
      <c r="H24" s="8">
        <v>55831</v>
      </c>
      <c r="I24" s="10"/>
    </row>
    <row r="25" spans="1:9">
      <c r="A25" s="7" t="s">
        <v>31</v>
      </c>
      <c r="B25" s="8">
        <v>7150</v>
      </c>
      <c r="C25" s="8">
        <f t="shared" si="0"/>
        <v>44596</v>
      </c>
      <c r="D25" s="8">
        <v>43098</v>
      </c>
      <c r="E25" s="8">
        <v>1498</v>
      </c>
      <c r="F25" s="8">
        <v>3014</v>
      </c>
      <c r="G25" s="8">
        <v>3848</v>
      </c>
      <c r="H25" s="8">
        <v>58608</v>
      </c>
      <c r="I25" s="10"/>
    </row>
    <row r="26" spans="1:9">
      <c r="A26" s="7" t="s">
        <v>32</v>
      </c>
      <c r="B26" s="8">
        <v>7139</v>
      </c>
      <c r="C26" s="8">
        <f t="shared" si="0"/>
        <v>45959</v>
      </c>
      <c r="D26" s="8">
        <v>44384</v>
      </c>
      <c r="E26" s="8">
        <v>1575</v>
      </c>
      <c r="F26" s="8">
        <v>3122</v>
      </c>
      <c r="G26" s="8">
        <v>3840</v>
      </c>
      <c r="H26" s="8">
        <v>60060</v>
      </c>
      <c r="I26" s="10"/>
    </row>
    <row r="27" spans="1:9">
      <c r="A27" s="7" t="s">
        <v>33</v>
      </c>
      <c r="B27" s="8">
        <v>7168</v>
      </c>
      <c r="C27" s="8">
        <f t="shared" si="0"/>
        <v>47095</v>
      </c>
      <c r="D27" s="8">
        <v>45451</v>
      </c>
      <c r="E27" s="8">
        <v>1644</v>
      </c>
      <c r="F27" s="8">
        <v>3096</v>
      </c>
      <c r="G27" s="8">
        <v>3833</v>
      </c>
      <c r="H27" s="8">
        <v>61192</v>
      </c>
      <c r="I27" s="10"/>
    </row>
    <row r="28" spans="1:9">
      <c r="A28" s="7" t="s">
        <v>34</v>
      </c>
      <c r="B28" s="8">
        <v>7275</v>
      </c>
      <c r="C28" s="8">
        <f t="shared" si="0"/>
        <v>48378</v>
      </c>
      <c r="D28" s="8">
        <v>46692</v>
      </c>
      <c r="E28" s="8">
        <v>1686</v>
      </c>
      <c r="F28" s="8">
        <v>3142</v>
      </c>
      <c r="G28" s="8">
        <v>3798</v>
      </c>
      <c r="H28" s="8">
        <v>62593</v>
      </c>
      <c r="I28" s="10"/>
    </row>
    <row r="29" spans="1:9">
      <c r="A29" s="7" t="s">
        <v>35</v>
      </c>
      <c r="B29" s="8">
        <v>7282</v>
      </c>
      <c r="C29" s="8">
        <f t="shared" si="0"/>
        <v>49408</v>
      </c>
      <c r="D29" s="8">
        <v>47718</v>
      </c>
      <c r="E29" s="8">
        <v>1690</v>
      </c>
      <c r="F29" s="8">
        <v>3047</v>
      </c>
      <c r="G29" s="8">
        <v>3738</v>
      </c>
      <c r="H29" s="8">
        <v>63475</v>
      </c>
      <c r="I29" s="10"/>
    </row>
    <row r="30" spans="1:9">
      <c r="A30" s="7" t="s">
        <v>36</v>
      </c>
      <c r="B30" s="8">
        <v>7308</v>
      </c>
      <c r="C30" s="8">
        <f t="shared" si="0"/>
        <v>52235</v>
      </c>
      <c r="D30" s="8">
        <v>50513</v>
      </c>
      <c r="E30" s="8">
        <v>1722</v>
      </c>
      <c r="F30" s="8">
        <v>3117</v>
      </c>
      <c r="G30" s="8">
        <v>3727</v>
      </c>
      <c r="H30" s="8">
        <v>66387</v>
      </c>
      <c r="I30" s="10"/>
    </row>
    <row r="31" spans="1:9">
      <c r="A31" s="7" t="s">
        <v>37</v>
      </c>
      <c r="B31" s="8">
        <v>7308</v>
      </c>
      <c r="C31" s="8">
        <f t="shared" si="0"/>
        <v>50209</v>
      </c>
      <c r="D31" s="8">
        <v>48536</v>
      </c>
      <c r="E31" s="8">
        <v>1673</v>
      </c>
      <c r="F31" s="8">
        <v>3261</v>
      </c>
      <c r="G31" s="8">
        <v>3731</v>
      </c>
      <c r="H31" s="8">
        <v>64509</v>
      </c>
      <c r="I31" s="10"/>
    </row>
    <row r="32" spans="1:9">
      <c r="A32" s="7" t="s">
        <v>38</v>
      </c>
      <c r="B32" s="8">
        <v>7423</v>
      </c>
      <c r="C32" s="8">
        <f t="shared" si="0"/>
        <v>50935</v>
      </c>
      <c r="D32" s="8">
        <v>49167</v>
      </c>
      <c r="E32" s="8">
        <v>1768</v>
      </c>
      <c r="F32" s="8">
        <v>3374</v>
      </c>
      <c r="G32" s="8">
        <v>3715</v>
      </c>
      <c r="H32" s="8">
        <v>65447</v>
      </c>
      <c r="I32" s="10"/>
    </row>
  </sheetData>
  <mergeCells count="7">
    <mergeCell ref="A2:A4"/>
    <mergeCell ref="B2:H2"/>
    <mergeCell ref="C3:E3"/>
    <mergeCell ref="B3:B4"/>
    <mergeCell ref="F3:F4"/>
    <mergeCell ref="G3:G4"/>
    <mergeCell ref="H3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830BF-E128-4321-BA84-2D470FBFAC90}">
  <dimension ref="A1:B17"/>
  <sheetViews>
    <sheetView workbookViewId="0">
      <selection activeCell="E28" sqref="E28"/>
    </sheetView>
  </sheetViews>
  <sheetFormatPr baseColWidth="10" defaultRowHeight="15"/>
  <sheetData>
    <row r="1" spans="1:2">
      <c r="A1" s="17" t="s">
        <v>55</v>
      </c>
      <c r="B1" s="18" t="s">
        <v>56</v>
      </c>
    </row>
    <row r="2" spans="1:2">
      <c r="A2" s="17"/>
      <c r="B2" s="19"/>
    </row>
    <row r="3" spans="1:2">
      <c r="A3" s="14">
        <v>2010</v>
      </c>
      <c r="B3" s="14">
        <v>44.96</v>
      </c>
    </row>
    <row r="4" spans="1:2">
      <c r="A4" s="14">
        <v>2011</v>
      </c>
      <c r="B4" s="14">
        <v>49.85</v>
      </c>
    </row>
    <row r="5" spans="1:2">
      <c r="A5" s="14">
        <v>2012</v>
      </c>
      <c r="B5" s="14">
        <v>55.58</v>
      </c>
    </row>
    <row r="6" spans="1:2">
      <c r="A6" s="14">
        <v>2013</v>
      </c>
      <c r="B6" s="14">
        <v>60.65</v>
      </c>
    </row>
    <row r="7" spans="1:2">
      <c r="A7" s="14">
        <v>2014</v>
      </c>
      <c r="B7" s="14">
        <v>65.19</v>
      </c>
    </row>
    <row r="8" spans="1:2">
      <c r="A8" s="14">
        <v>2015</v>
      </c>
      <c r="B8" s="14">
        <v>89.82</v>
      </c>
    </row>
    <row r="9" spans="1:2">
      <c r="A9" s="14">
        <v>2016</v>
      </c>
      <c r="B9" s="14">
        <v>93.82</v>
      </c>
    </row>
    <row r="10" spans="1:2">
      <c r="A10" s="14">
        <v>2017</v>
      </c>
      <c r="B10" s="14">
        <v>94.73</v>
      </c>
    </row>
    <row r="11" spans="1:2">
      <c r="A11" s="14">
        <v>2018</v>
      </c>
      <c r="B11" s="14">
        <v>100.27</v>
      </c>
    </row>
    <row r="12" spans="1:2">
      <c r="A12" s="14">
        <v>2019</v>
      </c>
      <c r="B12" s="14">
        <v>105.45</v>
      </c>
    </row>
    <row r="13" spans="1:2">
      <c r="A13" s="14">
        <v>2020</v>
      </c>
      <c r="B13" s="14">
        <v>115.37</v>
      </c>
    </row>
    <row r="14" spans="1:2">
      <c r="A14" s="14">
        <v>2021</v>
      </c>
      <c r="B14" s="14">
        <v>127.74</v>
      </c>
    </row>
    <row r="15" spans="1:2">
      <c r="A15" s="14">
        <v>2022</v>
      </c>
      <c r="B15" s="14">
        <v>134.66</v>
      </c>
    </row>
    <row r="16" spans="1:2">
      <c r="A16" s="14">
        <v>2023</v>
      </c>
      <c r="B16" s="14">
        <v>136.80000000000001</v>
      </c>
    </row>
    <row r="17" spans="1:2">
      <c r="A17" s="14">
        <v>2024</v>
      </c>
      <c r="B17" s="14">
        <v>139.55000000000001</v>
      </c>
    </row>
  </sheetData>
  <mergeCells count="2">
    <mergeCell ref="A1:A2"/>
    <mergeCell ref="B1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A8FE-F98F-4F5A-8C53-0373B7877FD2}">
  <dimension ref="A1:G7"/>
  <sheetViews>
    <sheetView workbookViewId="0">
      <selection activeCell="D4" sqref="D4"/>
    </sheetView>
  </sheetViews>
  <sheetFormatPr baseColWidth="10" defaultColWidth="11.42578125" defaultRowHeight="15"/>
  <cols>
    <col min="5" max="5" width="13.5703125" customWidth="1"/>
  </cols>
  <sheetData>
    <row r="1" spans="1:7">
      <c r="A1" s="1" t="s">
        <v>39</v>
      </c>
    </row>
    <row r="2" spans="1:7" s="2" customFormat="1" ht="67.5">
      <c r="B2" s="9" t="s">
        <v>40</v>
      </c>
      <c r="C2" s="9" t="s">
        <v>41</v>
      </c>
      <c r="D2" s="9" t="s">
        <v>42</v>
      </c>
      <c r="E2" s="9" t="s">
        <v>43</v>
      </c>
      <c r="F2" s="9" t="s">
        <v>44</v>
      </c>
      <c r="G2" s="9" t="s">
        <v>45</v>
      </c>
    </row>
    <row r="3" spans="1:7">
      <c r="A3">
        <v>2011</v>
      </c>
      <c r="B3" s="12">
        <v>0.36735500850727998</v>
      </c>
      <c r="C3" s="12">
        <v>0.33159913190183599</v>
      </c>
      <c r="E3" s="13"/>
      <c r="F3" s="12"/>
      <c r="G3" s="12">
        <v>0.14506754630896801</v>
      </c>
    </row>
    <row r="4" spans="1:7">
      <c r="A4">
        <v>2014</v>
      </c>
      <c r="B4" s="12">
        <v>0.46212425139984198</v>
      </c>
      <c r="C4" s="12">
        <v>0.40822981947675002</v>
      </c>
      <c r="E4" s="12">
        <v>0.246636258648738</v>
      </c>
      <c r="F4" s="12">
        <v>0.16717800647066999</v>
      </c>
      <c r="G4" s="12">
        <v>0.14263086538796099</v>
      </c>
    </row>
    <row r="5" spans="1:7">
      <c r="A5">
        <v>2017</v>
      </c>
      <c r="B5" s="12">
        <v>0.51246017177534398</v>
      </c>
      <c r="C5" s="12">
        <v>0.42606337779397702</v>
      </c>
      <c r="E5" s="12">
        <v>0.31556120917945402</v>
      </c>
      <c r="F5" s="12">
        <v>0.16662611490833801</v>
      </c>
      <c r="G5" s="12">
        <v>0.122254857733781</v>
      </c>
    </row>
    <row r="6" spans="1:7">
      <c r="A6">
        <v>2021</v>
      </c>
      <c r="B6" s="12">
        <v>0.64176716059282901</v>
      </c>
      <c r="C6" s="12">
        <v>0.57945240253525998</v>
      </c>
      <c r="E6" s="12">
        <v>0.46904363780860497</v>
      </c>
      <c r="F6" s="12">
        <v>0.23226187873583901</v>
      </c>
      <c r="G6" s="12">
        <v>0.130973647660555</v>
      </c>
    </row>
    <row r="7" spans="1:7">
      <c r="A7">
        <v>2024</v>
      </c>
      <c r="B7" s="12">
        <v>0.64505210387057699</v>
      </c>
      <c r="C7" s="12">
        <v>0.635126837380937</v>
      </c>
      <c r="D7" s="12">
        <v>0.62558796988749399</v>
      </c>
      <c r="E7" s="12">
        <v>0.432975618390812</v>
      </c>
      <c r="F7" s="12">
        <v>0.16148991101455901</v>
      </c>
      <c r="G7" s="12">
        <v>0.22002484537518999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0D2D6-B265-42DF-B352-4D448DFAA1B5}">
  <dimension ref="A1:D94"/>
  <sheetViews>
    <sheetView tabSelected="1" workbookViewId="0">
      <selection activeCell="H17" sqref="H17"/>
    </sheetView>
  </sheetViews>
  <sheetFormatPr baseColWidth="10" defaultRowHeight="15"/>
  <sheetData>
    <row r="1" spans="1:4">
      <c r="A1" s="20" t="s">
        <v>57</v>
      </c>
      <c r="B1" s="20" t="s">
        <v>58</v>
      </c>
      <c r="C1" s="20" t="s">
        <v>59</v>
      </c>
      <c r="D1" s="20" t="s">
        <v>60</v>
      </c>
    </row>
    <row r="2" spans="1:4">
      <c r="A2">
        <v>2023</v>
      </c>
      <c r="B2" t="s">
        <v>61</v>
      </c>
      <c r="C2" t="s">
        <v>62</v>
      </c>
      <c r="D2">
        <v>35629</v>
      </c>
    </row>
    <row r="3" spans="1:4">
      <c r="A3">
        <v>2023</v>
      </c>
      <c r="B3" t="s">
        <v>61</v>
      </c>
      <c r="C3" t="s">
        <v>63</v>
      </c>
      <c r="D3">
        <v>56958</v>
      </c>
    </row>
    <row r="4" spans="1:4">
      <c r="A4">
        <v>2023</v>
      </c>
      <c r="B4" t="s">
        <v>61</v>
      </c>
      <c r="C4" t="s">
        <v>64</v>
      </c>
      <c r="D4">
        <v>50631</v>
      </c>
    </row>
    <row r="5" spans="1:4">
      <c r="A5">
        <v>2023</v>
      </c>
      <c r="B5" t="s">
        <v>61</v>
      </c>
      <c r="C5" t="s">
        <v>65</v>
      </c>
      <c r="D5">
        <v>37725</v>
      </c>
    </row>
    <row r="6" spans="1:4">
      <c r="A6">
        <v>2023</v>
      </c>
      <c r="B6" t="s">
        <v>61</v>
      </c>
      <c r="C6" t="s">
        <v>66</v>
      </c>
      <c r="D6">
        <v>17368</v>
      </c>
    </row>
    <row r="7" spans="1:4">
      <c r="A7">
        <v>2023</v>
      </c>
      <c r="B7" t="s">
        <v>67</v>
      </c>
      <c r="C7" t="s">
        <v>62</v>
      </c>
      <c r="D7">
        <v>25890</v>
      </c>
    </row>
    <row r="8" spans="1:4">
      <c r="A8">
        <v>2023</v>
      </c>
      <c r="B8" t="s">
        <v>67</v>
      </c>
      <c r="C8" t="s">
        <v>63</v>
      </c>
      <c r="D8">
        <v>44349</v>
      </c>
    </row>
    <row r="9" spans="1:4">
      <c r="A9">
        <v>2023</v>
      </c>
      <c r="B9" t="s">
        <v>67</v>
      </c>
      <c r="C9" t="s">
        <v>64</v>
      </c>
      <c r="D9">
        <v>29764</v>
      </c>
    </row>
    <row r="10" spans="1:4">
      <c r="A10">
        <v>2023</v>
      </c>
      <c r="B10" t="s">
        <v>67</v>
      </c>
      <c r="C10" t="s">
        <v>65</v>
      </c>
      <c r="D10">
        <v>10710</v>
      </c>
    </row>
    <row r="11" spans="1:4">
      <c r="A11">
        <v>2023</v>
      </c>
      <c r="B11" t="s">
        <v>67</v>
      </c>
      <c r="C11" t="s">
        <v>66</v>
      </c>
      <c r="D11">
        <v>809</v>
      </c>
    </row>
    <row r="12" spans="1:4">
      <c r="A12">
        <v>2023</v>
      </c>
      <c r="B12" t="s">
        <v>68</v>
      </c>
      <c r="C12" t="s">
        <v>62</v>
      </c>
      <c r="D12">
        <v>5149</v>
      </c>
    </row>
    <row r="13" spans="1:4">
      <c r="A13">
        <v>2023</v>
      </c>
      <c r="B13" t="s">
        <v>68</v>
      </c>
      <c r="C13" t="s">
        <v>63</v>
      </c>
      <c r="D13">
        <v>992</v>
      </c>
    </row>
    <row r="14" spans="1:4">
      <c r="A14">
        <v>2023</v>
      </c>
      <c r="B14" t="s">
        <v>68</v>
      </c>
      <c r="C14" t="s">
        <v>64</v>
      </c>
      <c r="D14">
        <v>94</v>
      </c>
    </row>
    <row r="15" spans="1:4">
      <c r="A15">
        <v>2023</v>
      </c>
      <c r="B15" t="s">
        <v>69</v>
      </c>
      <c r="C15" t="s">
        <v>70</v>
      </c>
      <c r="D15">
        <v>49559</v>
      </c>
    </row>
    <row r="16" spans="1:4">
      <c r="A16">
        <v>2023</v>
      </c>
      <c r="B16" t="s">
        <v>69</v>
      </c>
      <c r="C16" t="s">
        <v>71</v>
      </c>
      <c r="D16">
        <v>36762</v>
      </c>
    </row>
    <row r="17" spans="1:4">
      <c r="A17">
        <v>2023</v>
      </c>
      <c r="B17" t="s">
        <v>69</v>
      </c>
      <c r="C17" t="s">
        <v>72</v>
      </c>
      <c r="D17">
        <v>17346</v>
      </c>
    </row>
    <row r="18" spans="1:4">
      <c r="A18">
        <v>2023</v>
      </c>
      <c r="B18" t="s">
        <v>69</v>
      </c>
      <c r="C18" t="s">
        <v>73</v>
      </c>
      <c r="D18">
        <v>344</v>
      </c>
    </row>
    <row r="19" spans="1:4">
      <c r="A19">
        <v>2023</v>
      </c>
      <c r="B19" t="s">
        <v>74</v>
      </c>
      <c r="C19" t="s">
        <v>62</v>
      </c>
      <c r="D19">
        <v>6984</v>
      </c>
    </row>
    <row r="20" spans="1:4">
      <c r="A20">
        <v>2023</v>
      </c>
      <c r="B20" t="s">
        <v>74</v>
      </c>
      <c r="C20" t="s">
        <v>63</v>
      </c>
      <c r="D20">
        <v>4538</v>
      </c>
    </row>
    <row r="21" spans="1:4">
      <c r="A21">
        <v>2023</v>
      </c>
      <c r="B21" t="s">
        <v>74</v>
      </c>
      <c r="C21" t="s">
        <v>64</v>
      </c>
      <c r="D21">
        <v>4404</v>
      </c>
    </row>
    <row r="22" spans="1:4">
      <c r="A22">
        <v>2023</v>
      </c>
      <c r="B22" t="s">
        <v>74</v>
      </c>
      <c r="C22" t="s">
        <v>65</v>
      </c>
      <c r="D22">
        <v>4480</v>
      </c>
    </row>
    <row r="23" spans="1:4">
      <c r="A23">
        <v>2023</v>
      </c>
      <c r="B23" t="s">
        <v>74</v>
      </c>
      <c r="C23" t="s">
        <v>66</v>
      </c>
      <c r="D23">
        <v>2322</v>
      </c>
    </row>
    <row r="24" spans="1:4">
      <c r="A24">
        <v>2023</v>
      </c>
      <c r="B24" t="s">
        <v>75</v>
      </c>
      <c r="C24" t="s">
        <v>62</v>
      </c>
      <c r="D24">
        <v>9438</v>
      </c>
    </row>
    <row r="25" spans="1:4">
      <c r="A25">
        <v>2023</v>
      </c>
      <c r="B25" t="s">
        <v>75</v>
      </c>
      <c r="C25" t="s">
        <v>63</v>
      </c>
      <c r="D25">
        <v>6050</v>
      </c>
    </row>
    <row r="26" spans="1:4">
      <c r="A26">
        <v>2023</v>
      </c>
      <c r="B26" t="s">
        <v>75</v>
      </c>
      <c r="C26" t="s">
        <v>64</v>
      </c>
      <c r="D26">
        <v>5144</v>
      </c>
    </row>
    <row r="27" spans="1:4">
      <c r="A27">
        <v>2023</v>
      </c>
      <c r="B27" t="s">
        <v>75</v>
      </c>
      <c r="C27" t="s">
        <v>65</v>
      </c>
      <c r="D27">
        <v>4608</v>
      </c>
    </row>
    <row r="28" spans="1:4">
      <c r="A28">
        <v>2023</v>
      </c>
      <c r="B28" t="s">
        <v>75</v>
      </c>
      <c r="C28" t="s">
        <v>66</v>
      </c>
      <c r="D28">
        <v>2184</v>
      </c>
    </row>
    <row r="29" spans="1:4">
      <c r="A29">
        <v>2023</v>
      </c>
      <c r="B29" t="s">
        <v>75</v>
      </c>
      <c r="C29" t="s">
        <v>70</v>
      </c>
      <c r="D29">
        <v>3310</v>
      </c>
    </row>
    <row r="30" spans="1:4">
      <c r="A30">
        <v>2023</v>
      </c>
      <c r="B30" t="s">
        <v>75</v>
      </c>
      <c r="C30" t="s">
        <v>71</v>
      </c>
      <c r="D30">
        <v>2000</v>
      </c>
    </row>
    <row r="31" spans="1:4">
      <c r="A31">
        <v>2023</v>
      </c>
      <c r="B31" t="s">
        <v>75</v>
      </c>
      <c r="C31" t="s">
        <v>72</v>
      </c>
      <c r="D31">
        <v>1152</v>
      </c>
    </row>
    <row r="32" spans="1:4">
      <c r="A32">
        <v>2023</v>
      </c>
      <c r="B32" t="s">
        <v>75</v>
      </c>
      <c r="C32" t="s">
        <v>73</v>
      </c>
      <c r="D32">
        <v>42</v>
      </c>
    </row>
    <row r="33" spans="1:4">
      <c r="A33">
        <v>2024</v>
      </c>
      <c r="B33" t="s">
        <v>61</v>
      </c>
      <c r="C33" t="s">
        <v>62</v>
      </c>
      <c r="D33">
        <v>69702</v>
      </c>
    </row>
    <row r="34" spans="1:4">
      <c r="A34">
        <v>2024</v>
      </c>
      <c r="B34" t="s">
        <v>61</v>
      </c>
      <c r="C34" t="s">
        <v>63</v>
      </c>
      <c r="D34">
        <v>111175</v>
      </c>
    </row>
    <row r="35" spans="1:4">
      <c r="A35">
        <v>2024</v>
      </c>
      <c r="B35" t="s">
        <v>61</v>
      </c>
      <c r="C35" t="s">
        <v>64</v>
      </c>
      <c r="D35">
        <v>105628</v>
      </c>
    </row>
    <row r="36" spans="1:4">
      <c r="A36">
        <v>2024</v>
      </c>
      <c r="B36" t="s">
        <v>61</v>
      </c>
      <c r="C36" t="s">
        <v>65</v>
      </c>
      <c r="D36">
        <v>81774</v>
      </c>
    </row>
    <row r="37" spans="1:4">
      <c r="A37">
        <v>2024</v>
      </c>
      <c r="B37" t="s">
        <v>61</v>
      </c>
      <c r="C37" t="s">
        <v>66</v>
      </c>
      <c r="D37">
        <v>37634</v>
      </c>
    </row>
    <row r="38" spans="1:4">
      <c r="A38">
        <v>2024</v>
      </c>
      <c r="B38" t="s">
        <v>67</v>
      </c>
      <c r="C38" t="s">
        <v>62</v>
      </c>
      <c r="D38">
        <v>47928</v>
      </c>
    </row>
    <row r="39" spans="1:4">
      <c r="A39">
        <v>2024</v>
      </c>
      <c r="B39" t="s">
        <v>67</v>
      </c>
      <c r="C39" t="s">
        <v>63</v>
      </c>
      <c r="D39">
        <v>72652</v>
      </c>
    </row>
    <row r="40" spans="1:4">
      <c r="A40">
        <v>2024</v>
      </c>
      <c r="B40" t="s">
        <v>67</v>
      </c>
      <c r="C40" t="s">
        <v>64</v>
      </c>
      <c r="D40">
        <v>49239</v>
      </c>
    </row>
    <row r="41" spans="1:4">
      <c r="A41">
        <v>2024</v>
      </c>
      <c r="B41" t="s">
        <v>67</v>
      </c>
      <c r="C41" t="s">
        <v>65</v>
      </c>
      <c r="D41">
        <v>16959</v>
      </c>
    </row>
    <row r="42" spans="1:4">
      <c r="A42">
        <v>2024</v>
      </c>
      <c r="B42" t="s">
        <v>67</v>
      </c>
      <c r="C42" t="s">
        <v>66</v>
      </c>
      <c r="D42">
        <v>1302</v>
      </c>
    </row>
    <row r="43" spans="1:4">
      <c r="A43">
        <v>2024</v>
      </c>
      <c r="B43" t="s">
        <v>68</v>
      </c>
      <c r="C43" t="s">
        <v>62</v>
      </c>
      <c r="D43">
        <v>6839</v>
      </c>
    </row>
    <row r="44" spans="1:4">
      <c r="A44">
        <v>2024</v>
      </c>
      <c r="B44" t="s">
        <v>68</v>
      </c>
      <c r="C44" t="s">
        <v>63</v>
      </c>
      <c r="D44">
        <v>1121</v>
      </c>
    </row>
    <row r="45" spans="1:4">
      <c r="A45">
        <v>2024</v>
      </c>
      <c r="B45" t="s">
        <v>68</v>
      </c>
      <c r="C45" t="s">
        <v>64</v>
      </c>
      <c r="D45">
        <v>95</v>
      </c>
    </row>
    <row r="46" spans="1:4">
      <c r="A46">
        <v>2024</v>
      </c>
      <c r="B46" t="s">
        <v>69</v>
      </c>
      <c r="C46" t="s">
        <v>70</v>
      </c>
      <c r="D46">
        <v>123216</v>
      </c>
    </row>
    <row r="47" spans="1:4">
      <c r="A47">
        <v>2024</v>
      </c>
      <c r="B47" t="s">
        <v>69</v>
      </c>
      <c r="C47" t="s">
        <v>71</v>
      </c>
      <c r="D47">
        <v>81991</v>
      </c>
    </row>
    <row r="48" spans="1:4">
      <c r="A48">
        <v>2024</v>
      </c>
      <c r="B48" t="s">
        <v>69</v>
      </c>
      <c r="C48" t="s">
        <v>72</v>
      </c>
      <c r="D48">
        <v>37395</v>
      </c>
    </row>
    <row r="49" spans="1:4">
      <c r="A49">
        <v>2024</v>
      </c>
      <c r="B49" t="s">
        <v>69</v>
      </c>
      <c r="C49" t="s">
        <v>73</v>
      </c>
      <c r="D49">
        <v>661</v>
      </c>
    </row>
    <row r="50" spans="1:4">
      <c r="A50">
        <v>2024</v>
      </c>
      <c r="B50" t="s">
        <v>74</v>
      </c>
      <c r="C50" t="s">
        <v>62</v>
      </c>
      <c r="D50">
        <v>15297</v>
      </c>
    </row>
    <row r="51" spans="1:4">
      <c r="A51">
        <v>2024</v>
      </c>
      <c r="B51" t="s">
        <v>74</v>
      </c>
      <c r="C51" t="s">
        <v>63</v>
      </c>
      <c r="D51">
        <v>9584</v>
      </c>
    </row>
    <row r="52" spans="1:4">
      <c r="A52">
        <v>2024</v>
      </c>
      <c r="B52" t="s">
        <v>74</v>
      </c>
      <c r="C52" t="s">
        <v>64</v>
      </c>
      <c r="D52">
        <v>9032</v>
      </c>
    </row>
    <row r="53" spans="1:4">
      <c r="A53">
        <v>2024</v>
      </c>
      <c r="B53" t="s">
        <v>74</v>
      </c>
      <c r="C53" t="s">
        <v>65</v>
      </c>
      <c r="D53">
        <v>9334</v>
      </c>
    </row>
    <row r="54" spans="1:4">
      <c r="A54">
        <v>2024</v>
      </c>
      <c r="B54" t="s">
        <v>74</v>
      </c>
      <c r="C54" t="s">
        <v>66</v>
      </c>
      <c r="D54">
        <v>4688</v>
      </c>
    </row>
    <row r="55" spans="1:4">
      <c r="A55">
        <v>2024</v>
      </c>
      <c r="B55" t="s">
        <v>75</v>
      </c>
      <c r="C55" t="s">
        <v>62</v>
      </c>
      <c r="D55">
        <v>9776</v>
      </c>
    </row>
    <row r="56" spans="1:4">
      <c r="A56">
        <v>2024</v>
      </c>
      <c r="B56" t="s">
        <v>75</v>
      </c>
      <c r="C56" t="s">
        <v>63</v>
      </c>
      <c r="D56">
        <v>6401</v>
      </c>
    </row>
    <row r="57" spans="1:4">
      <c r="A57">
        <v>2024</v>
      </c>
      <c r="B57" t="s">
        <v>75</v>
      </c>
      <c r="C57" t="s">
        <v>64</v>
      </c>
      <c r="D57">
        <v>5472</v>
      </c>
    </row>
    <row r="58" spans="1:4">
      <c r="A58">
        <v>2024</v>
      </c>
      <c r="B58" t="s">
        <v>75</v>
      </c>
      <c r="C58" t="s">
        <v>65</v>
      </c>
      <c r="D58">
        <v>4861</v>
      </c>
    </row>
    <row r="59" spans="1:4">
      <c r="A59">
        <v>2024</v>
      </c>
      <c r="B59" t="s">
        <v>75</v>
      </c>
      <c r="C59" t="s">
        <v>66</v>
      </c>
      <c r="D59">
        <v>2358</v>
      </c>
    </row>
    <row r="60" spans="1:4">
      <c r="A60">
        <v>2024</v>
      </c>
      <c r="B60" t="s">
        <v>75</v>
      </c>
      <c r="C60" t="s">
        <v>70</v>
      </c>
      <c r="D60">
        <v>3522</v>
      </c>
    </row>
    <row r="61" spans="1:4">
      <c r="A61">
        <v>2024</v>
      </c>
      <c r="B61" t="s">
        <v>75</v>
      </c>
      <c r="C61" t="s">
        <v>71</v>
      </c>
      <c r="D61">
        <v>2083</v>
      </c>
    </row>
    <row r="62" spans="1:4">
      <c r="A62">
        <v>2024</v>
      </c>
      <c r="B62" t="s">
        <v>75</v>
      </c>
      <c r="C62" t="s">
        <v>72</v>
      </c>
      <c r="D62">
        <v>1135</v>
      </c>
    </row>
    <row r="63" spans="1:4">
      <c r="A63">
        <v>2024</v>
      </c>
      <c r="B63" t="s">
        <v>75</v>
      </c>
      <c r="C63" t="s">
        <v>73</v>
      </c>
      <c r="D63">
        <v>28</v>
      </c>
    </row>
    <row r="64" spans="1:4">
      <c r="A64">
        <v>2025</v>
      </c>
      <c r="B64" t="s">
        <v>61</v>
      </c>
      <c r="C64" t="s">
        <v>62</v>
      </c>
      <c r="D64">
        <v>68975</v>
      </c>
    </row>
    <row r="65" spans="1:4">
      <c r="A65">
        <v>2025</v>
      </c>
      <c r="B65" t="s">
        <v>61</v>
      </c>
      <c r="C65" t="s">
        <v>63</v>
      </c>
      <c r="D65">
        <v>120356</v>
      </c>
    </row>
    <row r="66" spans="1:4">
      <c r="A66">
        <v>2025</v>
      </c>
      <c r="B66" t="s">
        <v>61</v>
      </c>
      <c r="C66" t="s">
        <v>64</v>
      </c>
      <c r="D66">
        <v>122173</v>
      </c>
    </row>
    <row r="67" spans="1:4">
      <c r="A67">
        <v>2025</v>
      </c>
      <c r="B67" t="s">
        <v>61</v>
      </c>
      <c r="C67" t="s">
        <v>65</v>
      </c>
      <c r="D67">
        <v>92677</v>
      </c>
    </row>
    <row r="68" spans="1:4">
      <c r="A68">
        <v>2025</v>
      </c>
      <c r="B68" t="s">
        <v>61</v>
      </c>
      <c r="C68" t="s">
        <v>66</v>
      </c>
      <c r="D68">
        <v>42250</v>
      </c>
    </row>
    <row r="69" spans="1:4">
      <c r="A69">
        <v>2025</v>
      </c>
      <c r="B69" t="s">
        <v>67</v>
      </c>
      <c r="C69" t="s">
        <v>62</v>
      </c>
      <c r="D69">
        <v>57911</v>
      </c>
    </row>
    <row r="70" spans="1:4">
      <c r="A70">
        <v>2025</v>
      </c>
      <c r="B70" t="s">
        <v>67</v>
      </c>
      <c r="C70" t="s">
        <v>63</v>
      </c>
      <c r="D70">
        <v>79903</v>
      </c>
    </row>
    <row r="71" spans="1:4">
      <c r="A71">
        <v>2025</v>
      </c>
      <c r="B71" t="s">
        <v>67</v>
      </c>
      <c r="C71" t="s">
        <v>64</v>
      </c>
      <c r="D71">
        <v>53737</v>
      </c>
    </row>
    <row r="72" spans="1:4">
      <c r="A72">
        <v>2025</v>
      </c>
      <c r="B72" t="s">
        <v>67</v>
      </c>
      <c r="C72" t="s">
        <v>65</v>
      </c>
      <c r="D72">
        <v>17406</v>
      </c>
    </row>
    <row r="73" spans="1:4">
      <c r="A73">
        <v>2025</v>
      </c>
      <c r="B73" t="s">
        <v>67</v>
      </c>
      <c r="C73" t="s">
        <v>66</v>
      </c>
      <c r="D73">
        <v>1310</v>
      </c>
    </row>
    <row r="74" spans="1:4">
      <c r="A74">
        <v>2025</v>
      </c>
      <c r="B74" t="s">
        <v>68</v>
      </c>
      <c r="C74" t="s">
        <v>62</v>
      </c>
      <c r="D74">
        <v>7153</v>
      </c>
    </row>
    <row r="75" spans="1:4">
      <c r="A75">
        <v>2025</v>
      </c>
      <c r="B75" t="s">
        <v>68</v>
      </c>
      <c r="C75" t="s">
        <v>63</v>
      </c>
      <c r="D75">
        <v>1399</v>
      </c>
    </row>
    <row r="76" spans="1:4">
      <c r="A76">
        <v>2025</v>
      </c>
      <c r="B76" t="s">
        <v>68</v>
      </c>
      <c r="C76" t="s">
        <v>64</v>
      </c>
      <c r="D76">
        <v>112</v>
      </c>
    </row>
    <row r="77" spans="1:4">
      <c r="A77">
        <v>2025</v>
      </c>
      <c r="B77" t="s">
        <v>69</v>
      </c>
      <c r="C77" t="s">
        <v>70</v>
      </c>
      <c r="D77">
        <v>136949</v>
      </c>
    </row>
    <row r="78" spans="1:4">
      <c r="A78">
        <v>2025</v>
      </c>
      <c r="B78" t="s">
        <v>69</v>
      </c>
      <c r="C78" t="s">
        <v>71</v>
      </c>
      <c r="D78">
        <v>92310</v>
      </c>
    </row>
    <row r="79" spans="1:4">
      <c r="A79">
        <v>2025</v>
      </c>
      <c r="B79" t="s">
        <v>69</v>
      </c>
      <c r="C79" t="s">
        <v>72</v>
      </c>
      <c r="D79">
        <v>43595</v>
      </c>
    </row>
    <row r="80" spans="1:4">
      <c r="A80">
        <v>2025</v>
      </c>
      <c r="B80" t="s">
        <v>69</v>
      </c>
      <c r="C80" t="s">
        <v>73</v>
      </c>
      <c r="D80">
        <v>872</v>
      </c>
    </row>
    <row r="81" spans="1:4">
      <c r="A81">
        <v>2025</v>
      </c>
      <c r="B81" t="s">
        <v>74</v>
      </c>
      <c r="C81" t="s">
        <v>62</v>
      </c>
      <c r="D81">
        <v>17664</v>
      </c>
    </row>
    <row r="82" spans="1:4">
      <c r="A82">
        <v>2025</v>
      </c>
      <c r="B82" t="s">
        <v>74</v>
      </c>
      <c r="C82" t="s">
        <v>63</v>
      </c>
      <c r="D82">
        <v>11112</v>
      </c>
    </row>
    <row r="83" spans="1:4">
      <c r="A83">
        <v>2025</v>
      </c>
      <c r="B83" t="s">
        <v>74</v>
      </c>
      <c r="C83" t="s">
        <v>64</v>
      </c>
      <c r="D83">
        <v>10406</v>
      </c>
    </row>
    <row r="84" spans="1:4">
      <c r="A84">
        <v>2025</v>
      </c>
      <c r="B84" t="s">
        <v>74</v>
      </c>
      <c r="C84" t="s">
        <v>65</v>
      </c>
      <c r="D84">
        <v>10371</v>
      </c>
    </row>
    <row r="85" spans="1:4">
      <c r="A85">
        <v>2025</v>
      </c>
      <c r="B85" t="s">
        <v>74</v>
      </c>
      <c r="C85" t="s">
        <v>66</v>
      </c>
      <c r="D85">
        <v>5243</v>
      </c>
    </row>
    <row r="86" spans="1:4">
      <c r="A86">
        <v>2025</v>
      </c>
      <c r="B86" t="s">
        <v>75</v>
      </c>
      <c r="C86" t="s">
        <v>62</v>
      </c>
      <c r="D86">
        <v>10222</v>
      </c>
    </row>
    <row r="87" spans="1:4">
      <c r="A87">
        <v>2025</v>
      </c>
      <c r="B87" t="s">
        <v>75</v>
      </c>
      <c r="C87" t="s">
        <v>63</v>
      </c>
      <c r="D87">
        <v>6910</v>
      </c>
    </row>
    <row r="88" spans="1:4">
      <c r="A88">
        <v>2025</v>
      </c>
      <c r="B88" t="s">
        <v>75</v>
      </c>
      <c r="C88" t="s">
        <v>64</v>
      </c>
      <c r="D88">
        <v>6129</v>
      </c>
    </row>
    <row r="89" spans="1:4">
      <c r="A89">
        <v>2025</v>
      </c>
      <c r="B89" t="s">
        <v>75</v>
      </c>
      <c r="C89" t="s">
        <v>65</v>
      </c>
      <c r="D89">
        <v>5420</v>
      </c>
    </row>
    <row r="90" spans="1:4">
      <c r="A90">
        <v>2025</v>
      </c>
      <c r="B90" t="s">
        <v>75</v>
      </c>
      <c r="C90" t="s">
        <v>66</v>
      </c>
      <c r="D90">
        <v>2687</v>
      </c>
    </row>
    <row r="91" spans="1:4">
      <c r="A91">
        <v>2025</v>
      </c>
      <c r="B91" t="s">
        <v>75</v>
      </c>
      <c r="C91" t="s">
        <v>70</v>
      </c>
      <c r="D91">
        <v>3885</v>
      </c>
    </row>
    <row r="92" spans="1:4">
      <c r="A92">
        <v>2025</v>
      </c>
      <c r="B92" t="s">
        <v>75</v>
      </c>
      <c r="C92" t="s">
        <v>71</v>
      </c>
      <c r="D92">
        <v>2228</v>
      </c>
    </row>
    <row r="93" spans="1:4">
      <c r="A93">
        <v>2025</v>
      </c>
      <c r="B93" t="s">
        <v>75</v>
      </c>
      <c r="C93" t="s">
        <v>72</v>
      </c>
      <c r="D93">
        <v>1137</v>
      </c>
    </row>
    <row r="94" spans="1:4">
      <c r="A94">
        <v>2025</v>
      </c>
      <c r="B94" t="s">
        <v>75</v>
      </c>
      <c r="C94" t="s">
        <v>73</v>
      </c>
      <c r="D94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3E29E-3BCB-4B4F-89C6-6BE945E71D8E}">
  <sheetPr codeName="Hoja1"/>
  <dimension ref="A1:F160"/>
  <sheetViews>
    <sheetView workbookViewId="0">
      <selection activeCell="E12" sqref="E12"/>
    </sheetView>
  </sheetViews>
  <sheetFormatPr baseColWidth="10" defaultColWidth="11.42578125" defaultRowHeight="15"/>
  <sheetData>
    <row r="1" spans="1:6">
      <c r="A1" s="1" t="s">
        <v>46</v>
      </c>
      <c r="B1" s="1"/>
    </row>
    <row r="2" spans="1:6" s="2" customFormat="1" ht="45">
      <c r="A2" s="3" t="s">
        <v>7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</row>
    <row r="3" spans="1:6">
      <c r="A3" s="4">
        <v>41275</v>
      </c>
      <c r="B3" s="6">
        <v>1907.5650202400009</v>
      </c>
      <c r="C3" s="5">
        <v>221.28402109000012</v>
      </c>
      <c r="D3" s="5">
        <v>5.5086724567518983</v>
      </c>
      <c r="E3" s="5">
        <v>6.0181600658753753</v>
      </c>
      <c r="F3" s="5">
        <v>5.7954103975971183</v>
      </c>
    </row>
    <row r="4" spans="1:6">
      <c r="A4" s="4">
        <v>41306</v>
      </c>
      <c r="B4" s="6">
        <v>2194.2095732300013</v>
      </c>
      <c r="C4" s="5">
        <v>198.70950695000022</v>
      </c>
      <c r="D4" s="5">
        <v>5.9267069874144385</v>
      </c>
      <c r="E4" s="5">
        <v>6.3619877570162551</v>
      </c>
      <c r="F4" s="5">
        <v>6.1683874053275201</v>
      </c>
    </row>
    <row r="5" spans="1:6">
      <c r="A5" s="4">
        <v>41334</v>
      </c>
      <c r="B5" s="6">
        <v>2568.8027561000049</v>
      </c>
      <c r="C5" s="5">
        <v>230.40051253000075</v>
      </c>
      <c r="D5" s="5">
        <v>5.661827823385555</v>
      </c>
      <c r="E5" s="5">
        <v>6.5676843978767661</v>
      </c>
      <c r="F5" s="5">
        <v>6.1541858719967824</v>
      </c>
    </row>
    <row r="6" spans="1:6">
      <c r="A6" s="4">
        <v>41365</v>
      </c>
      <c r="B6" s="6">
        <v>2582.8848648500739</v>
      </c>
      <c r="C6" s="5">
        <v>252.99866980000127</v>
      </c>
      <c r="D6" s="5">
        <v>5.5131992192230443</v>
      </c>
      <c r="E6" s="5">
        <v>6.2758184785227034</v>
      </c>
      <c r="F6" s="5">
        <v>5.9210106207581097</v>
      </c>
    </row>
    <row r="7" spans="1:6">
      <c r="A7" s="4">
        <v>41395</v>
      </c>
      <c r="B7" s="6">
        <v>2229.3787869100643</v>
      </c>
      <c r="C7" s="5">
        <v>246.7740840400019</v>
      </c>
      <c r="D7" s="5">
        <v>5.5649901966769919</v>
      </c>
      <c r="E7" s="5">
        <v>6.3927835411442606</v>
      </c>
      <c r="F7" s="5">
        <v>6.0028619691359966</v>
      </c>
    </row>
    <row r="8" spans="1:6">
      <c r="A8" s="4">
        <v>41426</v>
      </c>
      <c r="B8" s="6">
        <v>2203.9559311100597</v>
      </c>
      <c r="C8" s="5">
        <v>234.86750939999791</v>
      </c>
      <c r="D8" s="5">
        <v>5.8219761270162955</v>
      </c>
      <c r="E8" s="5">
        <v>6.4066799022225647</v>
      </c>
      <c r="F8" s="5">
        <v>6.1324632001258932</v>
      </c>
    </row>
    <row r="9" spans="1:6">
      <c r="A9" s="4">
        <v>41456</v>
      </c>
      <c r="B9" s="6">
        <v>2319.2096012600546</v>
      </c>
      <c r="C9" s="5">
        <v>238.25051853000068</v>
      </c>
      <c r="D9" s="5">
        <v>5.7723852080066331</v>
      </c>
      <c r="E9" s="5">
        <v>6.7026261814326427</v>
      </c>
      <c r="F9" s="5">
        <v>6.2399111563297511</v>
      </c>
    </row>
    <row r="10" spans="1:6">
      <c r="A10" s="4">
        <v>41487</v>
      </c>
      <c r="B10" s="6">
        <v>2347.4707078400506</v>
      </c>
      <c r="C10" s="5">
        <v>262.47784991000111</v>
      </c>
      <c r="D10" s="5">
        <v>6.0536077731471245</v>
      </c>
      <c r="E10" s="5">
        <v>6.631991928875161</v>
      </c>
      <c r="F10" s="5">
        <v>6.3476928149840237</v>
      </c>
    </row>
    <row r="11" spans="1:6">
      <c r="A11" s="4">
        <v>41518</v>
      </c>
      <c r="B11" s="6">
        <v>2329.5959971100574</v>
      </c>
      <c r="C11" s="5">
        <v>252.53434328000179</v>
      </c>
      <c r="D11" s="5">
        <v>6.2069177007602185</v>
      </c>
      <c r="E11" s="5">
        <v>6.5572156276531066</v>
      </c>
      <c r="F11" s="5">
        <v>6.3715418278669809</v>
      </c>
    </row>
    <row r="12" spans="1:6">
      <c r="A12" s="4">
        <v>41548</v>
      </c>
      <c r="B12" s="6">
        <v>2526.7119887000513</v>
      </c>
      <c r="C12" s="5">
        <v>235.21833824000049</v>
      </c>
      <c r="D12" s="5">
        <v>6.4423017448831486</v>
      </c>
      <c r="E12" s="5">
        <v>7.3088230696592653</v>
      </c>
      <c r="F12" s="5">
        <v>6.8725945151403787</v>
      </c>
    </row>
    <row r="13" spans="1:6">
      <c r="A13" s="4">
        <v>41579</v>
      </c>
      <c r="B13" s="6">
        <v>2621.2509810199936</v>
      </c>
      <c r="C13" s="5">
        <v>243.54888786000015</v>
      </c>
      <c r="D13" s="5">
        <v>6.1268657827306532</v>
      </c>
      <c r="E13" s="5">
        <v>7.4324261193996568</v>
      </c>
      <c r="F13" s="5">
        <v>6.7758828737161441</v>
      </c>
    </row>
    <row r="14" spans="1:6">
      <c r="A14" s="4">
        <v>41609</v>
      </c>
      <c r="B14" s="6">
        <v>2359.8097008200057</v>
      </c>
      <c r="C14" s="5">
        <v>210.20935030999971</v>
      </c>
      <c r="D14" s="5">
        <v>5.5538554810443879</v>
      </c>
      <c r="E14" s="5">
        <v>6.6404410203094244</v>
      </c>
      <c r="F14" s="5">
        <v>6.0811503859245661</v>
      </c>
    </row>
    <row r="15" spans="1:6">
      <c r="A15" s="4">
        <v>41640</v>
      </c>
      <c r="B15" s="6">
        <v>1971.2602319800585</v>
      </c>
      <c r="C15" s="5">
        <v>200.24451447999542</v>
      </c>
      <c r="D15" s="5">
        <v>6.0446084730520075</v>
      </c>
      <c r="E15" s="5">
        <v>7.4339108896782164</v>
      </c>
      <c r="F15" s="5">
        <v>6.7187606502762174</v>
      </c>
    </row>
    <row r="16" spans="1:6">
      <c r="A16" s="4">
        <v>41671</v>
      </c>
      <c r="B16" s="6">
        <v>2308.8087830700506</v>
      </c>
      <c r="C16" s="5">
        <v>216.18523390999846</v>
      </c>
      <c r="D16" s="5">
        <v>6.2546767935443404</v>
      </c>
      <c r="E16" s="5">
        <v>7.4617132780269086</v>
      </c>
      <c r="F16" s="5">
        <v>6.8311639799816897</v>
      </c>
    </row>
    <row r="17" spans="1:6">
      <c r="A17" s="4">
        <v>41699</v>
      </c>
      <c r="B17" s="6">
        <v>2415.7564322699996</v>
      </c>
      <c r="C17" s="5">
        <v>219.25320828999998</v>
      </c>
      <c r="D17" s="5">
        <v>6.5001412906315128</v>
      </c>
      <c r="E17" s="5">
        <v>7.6044239716140325</v>
      </c>
      <c r="F17" s="5">
        <v>6.9868498551688765</v>
      </c>
    </row>
    <row r="18" spans="1:6">
      <c r="A18" s="4">
        <v>41730</v>
      </c>
      <c r="B18" s="6">
        <v>2420.3805901600631</v>
      </c>
      <c r="C18" s="5">
        <v>239.05636959000097</v>
      </c>
      <c r="D18" s="5">
        <v>6.2770975928914243</v>
      </c>
      <c r="E18" s="5">
        <v>7.4391195740168445</v>
      </c>
      <c r="F18" s="5">
        <v>6.7966129538402216</v>
      </c>
    </row>
    <row r="19" spans="1:6">
      <c r="A19" s="4">
        <v>41760</v>
      </c>
      <c r="B19" s="6">
        <v>2287.1514700500334</v>
      </c>
      <c r="C19" s="5">
        <v>235.28395655000048</v>
      </c>
      <c r="D19" s="5">
        <v>6.2846997455458204</v>
      </c>
      <c r="E19" s="5">
        <v>7.4906481123012565</v>
      </c>
      <c r="F19" s="5">
        <v>6.8268793659531539</v>
      </c>
    </row>
    <row r="20" spans="1:6">
      <c r="A20" s="4">
        <v>41791</v>
      </c>
      <c r="B20" s="6">
        <v>2351.6201541700334</v>
      </c>
      <c r="C20" s="5">
        <v>228.32627361999963</v>
      </c>
      <c r="D20" s="5">
        <v>6.2168555237324865</v>
      </c>
      <c r="E20" s="5">
        <v>7.2302218987639915</v>
      </c>
      <c r="F20" s="5">
        <v>6.6920331447534869</v>
      </c>
    </row>
    <row r="21" spans="1:6">
      <c r="A21" s="4">
        <v>41821</v>
      </c>
      <c r="B21" s="6">
        <v>2365.8443988800432</v>
      </c>
      <c r="C21" s="5">
        <v>246.36491159000099</v>
      </c>
      <c r="D21" s="5">
        <v>6.1655178257255239</v>
      </c>
      <c r="E21" s="5">
        <v>7.1684355274927096</v>
      </c>
      <c r="F21" s="5">
        <v>6.6405644157904273</v>
      </c>
    </row>
    <row r="22" spans="1:6">
      <c r="A22" s="4">
        <v>41852</v>
      </c>
      <c r="B22" s="6">
        <v>2135.1811797000314</v>
      </c>
      <c r="C22" s="5">
        <v>231.86925158999989</v>
      </c>
      <c r="D22" s="5">
        <v>6.2217317008548001</v>
      </c>
      <c r="E22" s="5">
        <v>7.1628016905525254</v>
      </c>
      <c r="F22" s="5">
        <v>6.6279373493917086</v>
      </c>
    </row>
    <row r="23" spans="1:6">
      <c r="A23" s="4">
        <v>41883</v>
      </c>
      <c r="B23" s="6">
        <v>2677.0786998800459</v>
      </c>
      <c r="C23" s="5">
        <v>244.13021948999994</v>
      </c>
      <c r="D23" s="5">
        <v>6.4184491267639334</v>
      </c>
      <c r="E23" s="5">
        <v>7.0419121602556061</v>
      </c>
      <c r="F23" s="5">
        <v>6.667426868653183</v>
      </c>
    </row>
    <row r="24" spans="1:6">
      <c r="A24" s="4">
        <v>41913</v>
      </c>
      <c r="B24" s="6">
        <v>2669.5604551300421</v>
      </c>
      <c r="C24" s="5">
        <v>317.05440892000018</v>
      </c>
      <c r="D24" s="5">
        <v>6.3593728857472369</v>
      </c>
      <c r="E24" s="5">
        <v>7.192447527724247</v>
      </c>
      <c r="F24" s="5">
        <v>6.712446196400915</v>
      </c>
    </row>
    <row r="25" spans="1:6">
      <c r="A25" s="4">
        <v>41944</v>
      </c>
      <c r="B25" s="6">
        <v>2338.2869923800431</v>
      </c>
      <c r="C25" s="5">
        <v>257.35449859000022</v>
      </c>
      <c r="D25" s="5">
        <v>6.1270483655131596</v>
      </c>
      <c r="E25" s="5">
        <v>7.1032131749594081</v>
      </c>
      <c r="F25" s="5">
        <v>6.5612104949127783</v>
      </c>
    </row>
    <row r="26" spans="1:6">
      <c r="A26" s="4">
        <v>41974</v>
      </c>
      <c r="B26" s="6">
        <v>2799.8749420099975</v>
      </c>
      <c r="C26" s="5">
        <v>245.92390207000028</v>
      </c>
      <c r="D26" s="5">
        <v>5.4440799160648741</v>
      </c>
      <c r="E26" s="5">
        <v>6.449391904323674</v>
      </c>
      <c r="F26" s="5">
        <v>5.8912255592330807</v>
      </c>
    </row>
    <row r="27" spans="1:6">
      <c r="A27" s="4">
        <v>42005</v>
      </c>
      <c r="B27" s="6">
        <v>2063.7264384300415</v>
      </c>
      <c r="C27" s="5">
        <v>209.75069920999908</v>
      </c>
      <c r="D27" s="5">
        <v>6.0998388307226525</v>
      </c>
      <c r="E27" s="5">
        <v>7.1592158951173355</v>
      </c>
      <c r="F27" s="5">
        <v>6.522860882742215</v>
      </c>
    </row>
    <row r="28" spans="1:6">
      <c r="A28" s="4">
        <v>42036</v>
      </c>
      <c r="B28" s="6">
        <v>2171.2728782100498</v>
      </c>
      <c r="C28" s="5">
        <v>207.10245773999912</v>
      </c>
      <c r="D28" s="5">
        <v>6.3371238947964734</v>
      </c>
      <c r="E28" s="5">
        <v>7.2882043520126851</v>
      </c>
      <c r="F28" s="5">
        <v>6.707447653732503</v>
      </c>
    </row>
    <row r="29" spans="1:6">
      <c r="A29" s="4">
        <v>42064</v>
      </c>
      <c r="B29" s="6">
        <v>2274.7185661800345</v>
      </c>
      <c r="C29" s="5">
        <v>249.23146961000148</v>
      </c>
      <c r="D29" s="5">
        <v>6.2377380181196695</v>
      </c>
      <c r="E29" s="5">
        <v>7.0724378829790613</v>
      </c>
      <c r="F29" s="5">
        <v>6.5409242618392387</v>
      </c>
    </row>
    <row r="30" spans="1:6">
      <c r="A30" s="4">
        <v>42095</v>
      </c>
      <c r="B30" s="6">
        <v>2216.5568326800285</v>
      </c>
      <c r="C30" s="5">
        <v>227.16389943999977</v>
      </c>
      <c r="D30" s="5">
        <v>6.0934608476796059</v>
      </c>
      <c r="E30" s="5">
        <v>7.0131145199098128</v>
      </c>
      <c r="F30" s="5">
        <v>6.4439678694551654</v>
      </c>
    </row>
    <row r="31" spans="1:6">
      <c r="A31" s="4">
        <v>42125</v>
      </c>
      <c r="B31" s="6">
        <v>1820.1229967700372</v>
      </c>
      <c r="C31" s="5">
        <v>225.34672786000002</v>
      </c>
      <c r="D31" s="5">
        <v>6.2598172112377348</v>
      </c>
      <c r="E31" s="5">
        <v>7.2803436679266085</v>
      </c>
      <c r="F31" s="5">
        <v>6.6633953630048133</v>
      </c>
    </row>
    <row r="32" spans="1:6">
      <c r="A32" s="4">
        <v>42156</v>
      </c>
      <c r="B32" s="6">
        <v>2063.7495975600436</v>
      </c>
      <c r="C32" s="5">
        <v>245.08333674000045</v>
      </c>
      <c r="D32" s="5">
        <v>6.1801641083027974</v>
      </c>
      <c r="E32" s="5">
        <v>6.7982648763692977</v>
      </c>
      <c r="F32" s="5">
        <v>6.3757440375895982</v>
      </c>
    </row>
    <row r="33" spans="1:6">
      <c r="A33" s="4">
        <v>42186</v>
      </c>
      <c r="B33" s="6">
        <v>1915.7260342800346</v>
      </c>
      <c r="C33" s="5">
        <v>249.11856446000195</v>
      </c>
      <c r="D33" s="5">
        <v>6.1894941405995123</v>
      </c>
      <c r="E33" s="5">
        <v>6.9619806976421543</v>
      </c>
      <c r="F33" s="5">
        <v>6.4734385834936123</v>
      </c>
    </row>
    <row r="34" spans="1:6">
      <c r="A34" s="4">
        <v>42217</v>
      </c>
      <c r="B34" s="6">
        <v>1829.1290294800399</v>
      </c>
      <c r="C34" s="5">
        <v>222.99131548999952</v>
      </c>
      <c r="D34" s="5">
        <v>6.7280359954681446</v>
      </c>
      <c r="E34" s="5">
        <v>7.0861468645051326</v>
      </c>
      <c r="F34" s="5">
        <v>6.7903932252739105</v>
      </c>
    </row>
    <row r="35" spans="1:6">
      <c r="A35" s="4">
        <v>42248</v>
      </c>
      <c r="B35" s="6">
        <v>2019.2287031600501</v>
      </c>
      <c r="C35" s="5">
        <v>240.50789533999978</v>
      </c>
      <c r="D35" s="5">
        <v>6.860290902282137</v>
      </c>
      <c r="E35" s="5">
        <v>6.992317929832649</v>
      </c>
      <c r="F35" s="5">
        <v>6.8059479596912515</v>
      </c>
    </row>
    <row r="36" spans="1:6">
      <c r="A36" s="4">
        <v>42278</v>
      </c>
      <c r="B36" s="6">
        <v>1726.6244745500424</v>
      </c>
      <c r="C36" s="5">
        <v>203.96050002000007</v>
      </c>
      <c r="D36" s="5">
        <v>7.4142881195101067</v>
      </c>
      <c r="E36" s="5">
        <v>7.5995922556535147</v>
      </c>
      <c r="F36" s="5">
        <v>7.3785291165505305</v>
      </c>
    </row>
    <row r="37" spans="1:6">
      <c r="A37" s="4">
        <v>42309</v>
      </c>
      <c r="B37" s="6">
        <v>1796.1889525500378</v>
      </c>
      <c r="C37" s="5">
        <v>197.6179476100007</v>
      </c>
      <c r="D37" s="5">
        <v>7.905826625690783</v>
      </c>
      <c r="E37" s="5">
        <v>8.1806790953108255</v>
      </c>
      <c r="F37" s="5">
        <v>7.921158140534625</v>
      </c>
    </row>
    <row r="38" spans="1:6">
      <c r="A38" s="4">
        <v>42339</v>
      </c>
      <c r="B38" s="6">
        <v>1802.6431824400047</v>
      </c>
      <c r="C38" s="5">
        <v>204.17579718000073</v>
      </c>
      <c r="D38" s="5">
        <v>6.0990344144235218</v>
      </c>
      <c r="E38" s="5">
        <v>7.4886548981278427</v>
      </c>
      <c r="F38" s="5">
        <v>6.8587958211491609</v>
      </c>
    </row>
    <row r="39" spans="1:6">
      <c r="A39" s="4">
        <v>42370</v>
      </c>
      <c r="B39" s="6">
        <v>1543.1472894200529</v>
      </c>
      <c r="C39" s="5">
        <v>183.50948708999516</v>
      </c>
      <c r="D39" s="5">
        <v>7.2785987547175646</v>
      </c>
      <c r="E39" s="5">
        <v>9.1796749584414936</v>
      </c>
      <c r="F39" s="5">
        <v>8.3080078443908221</v>
      </c>
    </row>
    <row r="40" spans="1:6">
      <c r="A40" s="4">
        <v>42401</v>
      </c>
      <c r="B40" s="6">
        <v>1808.6442233800544</v>
      </c>
      <c r="C40" s="5">
        <v>212.08223257999532</v>
      </c>
      <c r="D40" s="5">
        <v>7.7326701325300533</v>
      </c>
      <c r="E40" s="5">
        <v>9.4450446769646952</v>
      </c>
      <c r="F40" s="5">
        <v>8.6632089571852706</v>
      </c>
    </row>
    <row r="41" spans="1:6">
      <c r="A41" s="4">
        <v>42430</v>
      </c>
      <c r="B41" s="6">
        <v>2111.558056060062</v>
      </c>
      <c r="C41" s="5">
        <v>290.20173958000157</v>
      </c>
      <c r="D41" s="5">
        <v>7.8783692450419167</v>
      </c>
      <c r="E41" s="5">
        <v>9.6377411268363442</v>
      </c>
      <c r="F41" s="5">
        <v>8.8484334652618699</v>
      </c>
    </row>
    <row r="42" spans="1:6">
      <c r="A42" s="4">
        <v>42461</v>
      </c>
      <c r="B42" s="6">
        <v>2030.6122704200268</v>
      </c>
      <c r="C42" s="5">
        <v>292.23418356000064</v>
      </c>
      <c r="D42" s="5">
        <v>8.0216778537170494</v>
      </c>
      <c r="E42" s="5">
        <v>12.027664663514219</v>
      </c>
      <c r="F42" s="5">
        <v>10.509667724809223</v>
      </c>
    </row>
    <row r="43" spans="1:6">
      <c r="A43" s="4">
        <v>42491</v>
      </c>
      <c r="B43" s="6">
        <v>1919.3745684600319</v>
      </c>
      <c r="C43" s="5">
        <v>267.83639838999886</v>
      </c>
      <c r="D43" s="5">
        <v>9.58504010779974</v>
      </c>
      <c r="E43" s="5">
        <v>12.398722188265964</v>
      </c>
      <c r="F43" s="5">
        <v>11.315068546531311</v>
      </c>
    </row>
    <row r="44" spans="1:6">
      <c r="A44" s="4">
        <v>42522</v>
      </c>
      <c r="B44" s="6">
        <v>2173.9181248300433</v>
      </c>
      <c r="C44" s="5">
        <v>338.84192205000238</v>
      </c>
      <c r="D44" s="5">
        <v>7.3648827351084103</v>
      </c>
      <c r="E44" s="5">
        <v>11.515726791017549</v>
      </c>
      <c r="F44" s="5">
        <v>10.030994517648677</v>
      </c>
    </row>
    <row r="45" spans="1:6">
      <c r="A45" s="4">
        <v>42552</v>
      </c>
      <c r="B45" s="6">
        <v>1972.1034416700418</v>
      </c>
      <c r="C45" s="5">
        <v>342.0588169000028</v>
      </c>
      <c r="D45" s="5">
        <v>7.5667921663235838</v>
      </c>
      <c r="E45" s="5">
        <v>10.521610184065951</v>
      </c>
      <c r="F45" s="5">
        <v>9.5008947724572401</v>
      </c>
    </row>
    <row r="46" spans="1:6">
      <c r="A46" s="4">
        <v>42583</v>
      </c>
      <c r="B46" s="6">
        <v>2122.7886727900436</v>
      </c>
      <c r="C46" s="5">
        <v>340.00375175999972</v>
      </c>
      <c r="D46" s="5">
        <v>7.3010321516905883</v>
      </c>
      <c r="E46" s="5">
        <v>10.720257850313144</v>
      </c>
      <c r="F46" s="5">
        <v>9.5285994461689221</v>
      </c>
    </row>
    <row r="47" spans="1:6">
      <c r="A47" s="4">
        <v>42614</v>
      </c>
      <c r="B47" s="6">
        <v>2137.9816976800425</v>
      </c>
      <c r="C47" s="5">
        <v>335.90570027000047</v>
      </c>
      <c r="D47" s="5">
        <v>7.1219209476333072</v>
      </c>
      <c r="E47" s="5">
        <v>10.532379439172756</v>
      </c>
      <c r="F47" s="5">
        <v>9.3279710942676157</v>
      </c>
    </row>
    <row r="48" spans="1:6">
      <c r="A48" s="4">
        <v>42644</v>
      </c>
      <c r="B48" s="6">
        <v>2302.8398121000587</v>
      </c>
      <c r="C48" s="5">
        <v>339.93005803999932</v>
      </c>
      <c r="D48" s="5">
        <v>7.3102430370810341</v>
      </c>
      <c r="E48" s="5">
        <v>10.624065432558719</v>
      </c>
      <c r="F48" s="5">
        <v>9.4517745459064724</v>
      </c>
    </row>
    <row r="49" spans="1:6">
      <c r="A49" s="4">
        <v>42675</v>
      </c>
      <c r="B49" s="6">
        <v>2238.6227898000298</v>
      </c>
      <c r="C49" s="5">
        <v>329.56223350999971</v>
      </c>
      <c r="D49" s="5">
        <v>7.247143577126212</v>
      </c>
      <c r="E49" s="5">
        <v>10.600770935419321</v>
      </c>
      <c r="F49" s="5">
        <v>9.4198315949413178</v>
      </c>
    </row>
    <row r="50" spans="1:6">
      <c r="A50" s="4">
        <v>42705</v>
      </c>
      <c r="B50" s="6">
        <v>2973.3710479599963</v>
      </c>
      <c r="C50" s="5">
        <v>331.40419930000013</v>
      </c>
      <c r="D50" s="5">
        <v>6.5653054835263607</v>
      </c>
      <c r="E50" s="5">
        <v>9.7534972733655909</v>
      </c>
      <c r="F50" s="5">
        <v>8.6159602432171098</v>
      </c>
    </row>
    <row r="51" spans="1:6">
      <c r="A51" s="4">
        <v>42736</v>
      </c>
      <c r="B51" s="6">
        <v>1918.4432557600444</v>
      </c>
      <c r="C51" s="5">
        <v>302.30716900000203</v>
      </c>
      <c r="D51" s="5">
        <v>6.8140157329549256</v>
      </c>
      <c r="E51" s="5">
        <v>10.488693502451344</v>
      </c>
      <c r="F51" s="5">
        <v>9.1632548714510857</v>
      </c>
    </row>
    <row r="52" spans="1:6">
      <c r="A52" s="4">
        <v>42767</v>
      </c>
      <c r="B52" s="6">
        <v>1990.0291864500368</v>
      </c>
      <c r="C52" s="5">
        <v>287.98064438000188</v>
      </c>
      <c r="D52" s="5">
        <v>7.1999483412857934</v>
      </c>
      <c r="E52" s="5">
        <v>10.693550935270565</v>
      </c>
      <c r="F52" s="5">
        <v>9.4432982394641662</v>
      </c>
    </row>
    <row r="53" spans="1:6">
      <c r="A53" s="4">
        <v>42795</v>
      </c>
      <c r="B53" s="6">
        <v>2641.2284924400369</v>
      </c>
      <c r="C53" s="5">
        <v>350.70052437000174</v>
      </c>
      <c r="D53" s="5">
        <v>6.4213047931619878</v>
      </c>
      <c r="E53" s="5">
        <v>10.222849002570491</v>
      </c>
      <c r="F53" s="5">
        <v>8.8460244494709777</v>
      </c>
    </row>
    <row r="54" spans="1:6">
      <c r="A54" s="4">
        <v>42826</v>
      </c>
      <c r="B54" s="6">
        <v>2500.8653636100303</v>
      </c>
      <c r="C54" s="5">
        <v>321.80588133000174</v>
      </c>
      <c r="D54" s="5">
        <v>6.3909466753358153</v>
      </c>
      <c r="E54" s="5">
        <v>10.539237837404881</v>
      </c>
      <c r="F54" s="5">
        <v>9.0151894072990757</v>
      </c>
    </row>
    <row r="55" spans="1:6">
      <c r="A55" s="4">
        <v>42856</v>
      </c>
      <c r="B55" s="6">
        <v>2370.9624319300392</v>
      </c>
      <c r="C55" s="5">
        <v>366.8093759900018</v>
      </c>
      <c r="D55" s="5">
        <v>6.1892582829401555</v>
      </c>
      <c r="E55" s="5">
        <v>10.314328165163547</v>
      </c>
      <c r="F55" s="5">
        <v>8.8098417597709755</v>
      </c>
    </row>
    <row r="56" spans="1:6">
      <c r="A56" s="4">
        <v>42887</v>
      </c>
      <c r="B56" s="6">
        <v>2531.7729375600402</v>
      </c>
      <c r="C56" s="5">
        <v>403.36285677000166</v>
      </c>
      <c r="D56" s="5">
        <v>5.7975265590927387</v>
      </c>
      <c r="E56" s="5">
        <v>9.6673159619496083</v>
      </c>
      <c r="F56" s="5">
        <v>8.2706925773541293</v>
      </c>
    </row>
    <row r="57" spans="1:6">
      <c r="A57" s="4">
        <v>42917</v>
      </c>
      <c r="B57" s="6">
        <v>2311.799995840031</v>
      </c>
      <c r="C57" s="5">
        <v>392.1311650700012</v>
      </c>
      <c r="D57" s="5">
        <v>5.8559163320662844</v>
      </c>
      <c r="E57" s="5">
        <v>9.4386008192762638</v>
      </c>
      <c r="F57" s="5">
        <v>8.1631361502592377</v>
      </c>
    </row>
    <row r="58" spans="1:6">
      <c r="A58" s="4">
        <v>42948</v>
      </c>
      <c r="B58" s="6">
        <v>2572.6243831800434</v>
      </c>
      <c r="C58" s="5">
        <v>404.78067895999914</v>
      </c>
      <c r="D58" s="5">
        <v>5.6746401503033246</v>
      </c>
      <c r="E58" s="5">
        <v>9.2066798962763556</v>
      </c>
      <c r="F58" s="5">
        <v>7.9497650483679001</v>
      </c>
    </row>
    <row r="59" spans="1:6">
      <c r="A59" s="4">
        <v>42979</v>
      </c>
      <c r="B59" s="6">
        <v>2597.3548444100502</v>
      </c>
      <c r="C59" s="5">
        <v>395.81902324000021</v>
      </c>
      <c r="D59" s="5">
        <v>5.5202942609051151</v>
      </c>
      <c r="E59" s="5">
        <v>8.8533862576659637</v>
      </c>
      <c r="F59" s="5">
        <v>7.6763779149113809</v>
      </c>
    </row>
    <row r="60" spans="1:6">
      <c r="A60" s="4">
        <v>43009</v>
      </c>
      <c r="B60" s="6">
        <v>2562.7835147100423</v>
      </c>
      <c r="C60" s="5">
        <v>410.69156076000064</v>
      </c>
      <c r="D60" s="5">
        <v>5.3925910198825138</v>
      </c>
      <c r="E60" s="5">
        <v>8.647562796136123</v>
      </c>
      <c r="F60" s="5">
        <v>7.5006104774812581</v>
      </c>
    </row>
    <row r="61" spans="1:6">
      <c r="A61" s="4">
        <v>43040</v>
      </c>
      <c r="B61" s="6">
        <v>2637.4220446700451</v>
      </c>
      <c r="C61" s="5">
        <v>410.92813812000043</v>
      </c>
      <c r="D61" s="5">
        <v>5.3862088203890339</v>
      </c>
      <c r="E61" s="5">
        <v>8.4316428332027371</v>
      </c>
      <c r="F61" s="5">
        <v>7.3585188839527262</v>
      </c>
    </row>
    <row r="62" spans="1:6">
      <c r="A62" s="4">
        <v>43070</v>
      </c>
      <c r="B62" s="6">
        <v>2762.1473721899988</v>
      </c>
      <c r="C62" s="5">
        <v>391.19795844000004</v>
      </c>
      <c r="D62" s="5">
        <v>4.9923894401514799</v>
      </c>
      <c r="E62" s="5">
        <v>7.6061498874130828</v>
      </c>
      <c r="F62" s="5">
        <v>6.6889444869134147</v>
      </c>
    </row>
    <row r="63" spans="1:6">
      <c r="A63" s="4">
        <v>43101</v>
      </c>
      <c r="B63" s="6">
        <v>2332.4884771800535</v>
      </c>
      <c r="C63" s="5">
        <v>397.04688184000247</v>
      </c>
      <c r="D63" s="5">
        <v>5.1902569176390818</v>
      </c>
      <c r="E63" s="5">
        <v>7.826830409912608</v>
      </c>
      <c r="F63" s="5">
        <v>6.9080507104635469</v>
      </c>
    </row>
    <row r="64" spans="1:6">
      <c r="A64" s="4">
        <v>43132</v>
      </c>
      <c r="B64" s="6">
        <v>2243.5637433900338</v>
      </c>
      <c r="C64" s="5">
        <v>351.66325680000239</v>
      </c>
      <c r="D64" s="5">
        <v>5.5365366422385147</v>
      </c>
      <c r="E64" s="5">
        <v>7.8763907179204455</v>
      </c>
      <c r="F64" s="5">
        <v>7.0697611276214865</v>
      </c>
    </row>
    <row r="65" spans="1:6">
      <c r="A65" s="4">
        <v>43160</v>
      </c>
      <c r="B65" s="6">
        <v>2797.38082252001</v>
      </c>
      <c r="C65" s="5">
        <v>448.31772750000238</v>
      </c>
      <c r="D65" s="5">
        <v>5.3846646152592559</v>
      </c>
      <c r="E65" s="5">
        <v>7.485084034697258</v>
      </c>
      <c r="F65" s="5">
        <v>6.7681886541838416</v>
      </c>
    </row>
    <row r="66" spans="1:6">
      <c r="A66" s="4">
        <v>43191</v>
      </c>
      <c r="B66" s="6">
        <v>2931.5374782599315</v>
      </c>
      <c r="C66" s="5">
        <v>431.6497195200036</v>
      </c>
      <c r="D66" s="5">
        <v>5.4232404596437593</v>
      </c>
      <c r="E66" s="5">
        <v>7.4652367961412791</v>
      </c>
      <c r="F66" s="5">
        <v>6.7811517661251068</v>
      </c>
    </row>
    <row r="67" spans="1:6">
      <c r="A67" s="4">
        <v>43221</v>
      </c>
      <c r="B67" s="6">
        <v>3071.4377572999506</v>
      </c>
      <c r="C67" s="5">
        <v>489.40718497000177</v>
      </c>
      <c r="D67" s="5">
        <v>5.3097258100042755</v>
      </c>
      <c r="E67" s="5">
        <v>7.1796678521216979</v>
      </c>
      <c r="F67" s="5">
        <v>6.5586758118858848</v>
      </c>
    </row>
    <row r="68" spans="1:6">
      <c r="A68" s="4">
        <v>43252</v>
      </c>
      <c r="B68" s="6">
        <v>2906.4911792299163</v>
      </c>
      <c r="C68" s="5">
        <v>480.47762564000288</v>
      </c>
      <c r="D68" s="5">
        <v>5.0941305579222123</v>
      </c>
      <c r="E68" s="5">
        <v>6.8658232443984373</v>
      </c>
      <c r="F68" s="5">
        <v>6.2845867490400842</v>
      </c>
    </row>
    <row r="69" spans="1:6">
      <c r="A69" s="4">
        <v>43282</v>
      </c>
      <c r="B69" s="6">
        <v>2877.2409300499471</v>
      </c>
      <c r="C69" s="5">
        <v>472.92741830000136</v>
      </c>
      <c r="D69" s="5">
        <v>4.7174574991440625</v>
      </c>
      <c r="E69" s="5">
        <v>6.7677776657952977</v>
      </c>
      <c r="F69" s="5">
        <v>6.099990993145572</v>
      </c>
    </row>
    <row r="70" spans="1:6">
      <c r="A70" s="4">
        <v>43313</v>
      </c>
      <c r="B70" s="6">
        <v>2995.3020075499962</v>
      </c>
      <c r="C70" s="5">
        <v>485.7899221700016</v>
      </c>
      <c r="D70" s="5">
        <v>4.7498298107912031</v>
      </c>
      <c r="E70" s="5">
        <v>6.6178255122799134</v>
      </c>
      <c r="F70" s="5">
        <v>6.0115679159195015</v>
      </c>
    </row>
    <row r="71" spans="1:6">
      <c r="A71" s="4">
        <v>43344</v>
      </c>
      <c r="B71" s="6">
        <v>2658.1903767200001</v>
      </c>
      <c r="C71" s="5">
        <v>443.58547743000264</v>
      </c>
      <c r="D71" s="5">
        <v>5.0307603819360089</v>
      </c>
      <c r="E71" s="5">
        <v>6.6044933845462586</v>
      </c>
      <c r="F71" s="5">
        <v>6.0917262137945443</v>
      </c>
    </row>
    <row r="72" spans="1:6">
      <c r="A72" s="4">
        <v>43374</v>
      </c>
      <c r="B72" s="6">
        <v>2762.9742262200084</v>
      </c>
      <c r="C72" s="5">
        <v>503.51958110000118</v>
      </c>
      <c r="D72" s="5">
        <v>5.0576618807644982</v>
      </c>
      <c r="E72" s="5">
        <v>6.401654870702977</v>
      </c>
      <c r="F72" s="5">
        <v>5.9669801252787664</v>
      </c>
    </row>
    <row r="73" spans="1:6">
      <c r="A73" s="4">
        <v>43405</v>
      </c>
      <c r="B73" s="6">
        <v>2848.7331398699521</v>
      </c>
      <c r="C73" s="5">
        <v>473.09469808999955</v>
      </c>
      <c r="D73" s="5">
        <v>4.9385392657018699</v>
      </c>
      <c r="E73" s="5">
        <v>6.3966429148005304</v>
      </c>
      <c r="F73" s="5">
        <v>5.9185198989683663</v>
      </c>
    </row>
    <row r="74" spans="1:6">
      <c r="A74" s="4">
        <v>43435</v>
      </c>
      <c r="B74" s="6">
        <v>2773.3870064599923</v>
      </c>
      <c r="C74" s="5">
        <v>440.09216420000064</v>
      </c>
      <c r="D74" s="5">
        <v>4.9317356569279127</v>
      </c>
      <c r="E74" s="5">
        <v>5.8280087123228475</v>
      </c>
      <c r="F74" s="5">
        <v>5.5357137769614821</v>
      </c>
    </row>
    <row r="75" spans="1:6">
      <c r="A75" s="4">
        <v>43466</v>
      </c>
      <c r="B75" s="6">
        <v>2618.9326012200154</v>
      </c>
      <c r="C75" s="5">
        <v>439.14695506000118</v>
      </c>
      <c r="D75" s="5">
        <v>4.9609658276317754</v>
      </c>
      <c r="E75" s="5">
        <v>6.1479364495492916</v>
      </c>
      <c r="F75" s="5">
        <v>5.7491522847124967</v>
      </c>
    </row>
    <row r="76" spans="1:6">
      <c r="A76" s="4">
        <v>43497</v>
      </c>
      <c r="B76" s="6">
        <v>2545.7784405600123</v>
      </c>
      <c r="C76" s="5">
        <v>446.28248341000102</v>
      </c>
      <c r="D76" s="5">
        <v>5.0350724237778834</v>
      </c>
      <c r="E76" s="5">
        <v>6.1144445110527661</v>
      </c>
      <c r="F76" s="5">
        <v>5.7511522610369417</v>
      </c>
    </row>
    <row r="77" spans="1:6">
      <c r="A77" s="4">
        <v>43525</v>
      </c>
      <c r="B77" s="6">
        <v>2695.5777603800116</v>
      </c>
      <c r="C77" s="5">
        <v>413.31374609000073</v>
      </c>
      <c r="D77" s="5">
        <v>5.1618883762492382</v>
      </c>
      <c r="E77" s="5">
        <v>6.1721485886443848</v>
      </c>
      <c r="F77" s="5">
        <v>5.8374563901661363</v>
      </c>
    </row>
    <row r="78" spans="1:6">
      <c r="A78" s="4">
        <v>43556</v>
      </c>
      <c r="B78" s="6">
        <v>2910.6444420599914</v>
      </c>
      <c r="C78" s="5">
        <v>445.9079613499996</v>
      </c>
      <c r="D78" s="5">
        <v>4.9913040538917404</v>
      </c>
      <c r="E78" s="5">
        <v>6.2269247195677879</v>
      </c>
      <c r="F78" s="5">
        <v>5.811357171667086</v>
      </c>
    </row>
    <row r="79" spans="1:6">
      <c r="A79" s="4">
        <v>43586</v>
      </c>
      <c r="B79" s="6">
        <v>2825.4209256299887</v>
      </c>
      <c r="C79" s="5">
        <v>467.62251844999923</v>
      </c>
      <c r="D79" s="5">
        <v>5.1433394827693713</v>
      </c>
      <c r="E79" s="5">
        <v>6.1421926677297538</v>
      </c>
      <c r="F79" s="5">
        <v>5.7981965092338319</v>
      </c>
    </row>
    <row r="80" spans="1:6">
      <c r="A80" s="4">
        <v>43617</v>
      </c>
      <c r="B80" s="6">
        <v>2829.8800357199548</v>
      </c>
      <c r="C80" s="5">
        <v>478.53802094000014</v>
      </c>
      <c r="D80" s="5">
        <v>5.1420441718199461</v>
      </c>
      <c r="E80" s="5">
        <v>5.9790395657715489</v>
      </c>
      <c r="F80" s="5">
        <v>5.6845315762875606</v>
      </c>
    </row>
    <row r="81" spans="1:6">
      <c r="A81" s="4">
        <v>43647</v>
      </c>
      <c r="B81" s="6">
        <v>3090.9866520499295</v>
      </c>
      <c r="C81" s="5">
        <v>499.43739839000006</v>
      </c>
      <c r="D81" s="5">
        <v>4.905202795136085</v>
      </c>
      <c r="E81" s="5">
        <v>5.9187649532818201</v>
      </c>
      <c r="F81" s="5">
        <v>5.5597408379642124</v>
      </c>
    </row>
    <row r="82" spans="1:6">
      <c r="A82" s="4">
        <v>43678</v>
      </c>
      <c r="B82" s="6">
        <v>2765.0641803200097</v>
      </c>
      <c r="C82" s="5">
        <v>471.18796409999976</v>
      </c>
      <c r="D82" s="5">
        <v>4.9046364844517285</v>
      </c>
      <c r="E82" s="5">
        <v>5.9960219580318395</v>
      </c>
      <c r="F82" s="5">
        <v>5.6062717997878559</v>
      </c>
    </row>
    <row r="83" spans="1:6">
      <c r="A83" s="4">
        <v>43709</v>
      </c>
      <c r="B83" s="6">
        <v>3010.1111890099196</v>
      </c>
      <c r="C83" s="5">
        <v>482.32798148000023</v>
      </c>
      <c r="D83" s="5">
        <v>5.0939028282757093</v>
      </c>
      <c r="E83" s="5">
        <v>5.9649450959891182</v>
      </c>
      <c r="F83" s="5">
        <v>5.647011134817987</v>
      </c>
    </row>
    <row r="84" spans="1:6">
      <c r="A84" s="4">
        <v>43739</v>
      </c>
      <c r="B84" s="6">
        <v>2896.2550854199012</v>
      </c>
      <c r="C84" s="5">
        <v>443.40484266000072</v>
      </c>
      <c r="D84" s="5">
        <v>4.6012436600252897</v>
      </c>
      <c r="E84" s="5">
        <v>6.3619970609209204</v>
      </c>
      <c r="F84" s="5">
        <v>5.7505616639339969</v>
      </c>
    </row>
    <row r="85" spans="1:6">
      <c r="A85" s="4">
        <v>43770</v>
      </c>
      <c r="B85" s="6">
        <v>2655.2891132100303</v>
      </c>
      <c r="C85" s="5">
        <v>489.60971373999973</v>
      </c>
      <c r="D85" s="5">
        <v>4.7190765733622753</v>
      </c>
      <c r="E85" s="5">
        <v>6.4008497744212507</v>
      </c>
      <c r="F85" s="5">
        <v>5.8114840032554893</v>
      </c>
    </row>
    <row r="86" spans="1:6">
      <c r="A86" s="4">
        <v>43800</v>
      </c>
      <c r="B86" s="6">
        <v>3227.0450583799984</v>
      </c>
      <c r="C86" s="5">
        <v>487.59560439999944</v>
      </c>
      <c r="D86" s="5">
        <v>4.6761236750227022</v>
      </c>
      <c r="E86" s="5">
        <v>5.6855103798691857</v>
      </c>
      <c r="F86" s="5">
        <v>5.3136336208496191</v>
      </c>
    </row>
    <row r="87" spans="1:6">
      <c r="A87" s="4">
        <v>43831</v>
      </c>
      <c r="B87" s="6">
        <v>2696.2679037700168</v>
      </c>
      <c r="C87" s="5">
        <v>491.45466151999972</v>
      </c>
      <c r="D87" s="5">
        <v>5.0666150570933572</v>
      </c>
      <c r="E87" s="5">
        <v>6.0708765021264721</v>
      </c>
      <c r="F87" s="5">
        <v>5.69945514470046</v>
      </c>
    </row>
    <row r="88" spans="1:6">
      <c r="A88" s="4">
        <v>43862</v>
      </c>
      <c r="B88" s="6">
        <v>2649.3655708100287</v>
      </c>
      <c r="C88" s="5">
        <v>433.48244452999961</v>
      </c>
      <c r="D88" s="5">
        <v>5.5315473525551706</v>
      </c>
      <c r="E88" s="5">
        <v>6.4580039191525414</v>
      </c>
      <c r="F88" s="5">
        <v>6.116391490796925</v>
      </c>
    </row>
    <row r="89" spans="1:6">
      <c r="A89" s="4">
        <v>43891</v>
      </c>
      <c r="B89" s="6">
        <v>2156.6287799500165</v>
      </c>
      <c r="C89" s="5">
        <v>245.92329776999975</v>
      </c>
      <c r="D89" s="5">
        <v>4.1989228991406593</v>
      </c>
      <c r="E89" s="5">
        <v>8.6835264624036412</v>
      </c>
      <c r="F89" s="5">
        <v>7.1618752675210064</v>
      </c>
    </row>
    <row r="90" spans="1:6">
      <c r="A90" s="4">
        <v>43922</v>
      </c>
      <c r="B90" s="6">
        <v>2103.4725528800095</v>
      </c>
      <c r="C90" s="5">
        <v>215.47597032000002</v>
      </c>
      <c r="D90" s="5">
        <v>4.8951732970205564</v>
      </c>
      <c r="E90" s="5">
        <v>8.5722797746923547</v>
      </c>
      <c r="F90" s="5">
        <v>7.2943350488521377</v>
      </c>
    </row>
    <row r="91" spans="1:6">
      <c r="A91" s="4">
        <v>43952</v>
      </c>
      <c r="B91" s="6">
        <v>1662.388219440001</v>
      </c>
      <c r="C91" s="5">
        <v>179.85115574000031</v>
      </c>
      <c r="D91" s="5">
        <v>4.6438820916537731</v>
      </c>
      <c r="E91" s="5">
        <v>6.939904393612796</v>
      </c>
      <c r="F91" s="5">
        <v>6.1317450072427002</v>
      </c>
    </row>
    <row r="92" spans="1:6">
      <c r="A92" s="4">
        <v>43983</v>
      </c>
      <c r="B92" s="6">
        <v>2504.3778391200049</v>
      </c>
      <c r="C92" s="5">
        <v>370.39751483999942</v>
      </c>
      <c r="D92" s="5">
        <v>3.8582905522362134</v>
      </c>
      <c r="E92" s="5">
        <v>6.2220521813623906</v>
      </c>
      <c r="F92" s="5">
        <v>5.3931435840368103</v>
      </c>
    </row>
    <row r="93" spans="1:6">
      <c r="A93" s="4">
        <v>44013</v>
      </c>
      <c r="B93" s="6">
        <v>3007.7552427999613</v>
      </c>
      <c r="C93" s="5">
        <v>487.2784785900015</v>
      </c>
      <c r="D93" s="5">
        <v>3.307668766715143</v>
      </c>
      <c r="E93" s="5">
        <v>6.139838286715559</v>
      </c>
      <c r="F93" s="5">
        <v>5.1786972298783329</v>
      </c>
    </row>
    <row r="94" spans="1:6">
      <c r="A94" s="4">
        <v>44044</v>
      </c>
      <c r="B94" s="6">
        <v>2817.3155560499354</v>
      </c>
      <c r="C94" s="5">
        <v>445.74157519000039</v>
      </c>
      <c r="D94" s="5">
        <v>4.0943444594418166</v>
      </c>
      <c r="E94" s="5">
        <v>6.4441835339893085</v>
      </c>
      <c r="F94" s="5">
        <v>5.6386909107274601</v>
      </c>
    </row>
    <row r="95" spans="1:6">
      <c r="A95" s="4">
        <v>44075</v>
      </c>
      <c r="B95" s="6">
        <v>2887.1019237299279</v>
      </c>
      <c r="C95" s="5">
        <v>489.4515514699998</v>
      </c>
      <c r="D95" s="5">
        <v>5.9692598789956124</v>
      </c>
      <c r="E95" s="5">
        <v>6.3982914215325604</v>
      </c>
      <c r="F95" s="5">
        <v>6.2153820411559817</v>
      </c>
    </row>
    <row r="96" spans="1:6">
      <c r="A96" s="4">
        <v>44105</v>
      </c>
      <c r="B96" s="6">
        <v>2770.9426004100205</v>
      </c>
      <c r="C96" s="5">
        <v>484.73310178999952</v>
      </c>
      <c r="D96" s="5">
        <v>4.0420688685825032</v>
      </c>
      <c r="E96" s="5">
        <v>6.3729947362682022</v>
      </c>
      <c r="F96" s="5">
        <v>5.5880034934788378</v>
      </c>
    </row>
    <row r="97" spans="1:6">
      <c r="A97" s="4">
        <v>44136</v>
      </c>
      <c r="B97" s="6">
        <v>2862.0656556399554</v>
      </c>
      <c r="C97" s="5">
        <v>445.59171239000011</v>
      </c>
      <c r="D97" s="5">
        <v>4.2145956680461252</v>
      </c>
      <c r="E97" s="5">
        <v>6.5990011742173396</v>
      </c>
      <c r="F97" s="5">
        <v>5.7921349628665695</v>
      </c>
    </row>
    <row r="98" spans="1:6">
      <c r="A98" s="4">
        <v>44166</v>
      </c>
      <c r="B98" s="6">
        <v>3191.7075229100064</v>
      </c>
      <c r="C98" s="5">
        <v>471.38596737000063</v>
      </c>
      <c r="D98" s="5">
        <v>3.9726931550507349</v>
      </c>
      <c r="E98" s="5">
        <v>5.2486545566996847</v>
      </c>
      <c r="F98" s="5">
        <v>4.8011163397742616</v>
      </c>
    </row>
    <row r="99" spans="1:6">
      <c r="A99" s="4">
        <v>44197</v>
      </c>
      <c r="B99" s="6">
        <v>2315.7020586300164</v>
      </c>
      <c r="C99" s="5">
        <v>428.66430718000203</v>
      </c>
      <c r="D99" s="5">
        <v>4.0607561928730602</v>
      </c>
      <c r="E99" s="5">
        <v>5.9022900869327275</v>
      </c>
      <c r="F99" s="5">
        <v>5.2773959516827995</v>
      </c>
    </row>
    <row r="100" spans="1:6">
      <c r="A100" s="4">
        <v>44228</v>
      </c>
      <c r="B100" s="6">
        <v>2678.4611600400144</v>
      </c>
      <c r="C100" s="5">
        <v>459.32722133000135</v>
      </c>
      <c r="D100" s="5">
        <v>4.1060766010102459</v>
      </c>
      <c r="E100" s="5">
        <v>6.2143577220770911</v>
      </c>
      <c r="F100" s="5">
        <v>5.5125056153659999</v>
      </c>
    </row>
    <row r="101" spans="1:6">
      <c r="A101" s="4">
        <v>44256</v>
      </c>
      <c r="B101" s="6">
        <v>3252.4776178099805</v>
      </c>
      <c r="C101" s="5">
        <v>585.84028896000211</v>
      </c>
      <c r="D101" s="5">
        <v>4.0820325178598305</v>
      </c>
      <c r="E101" s="5">
        <v>6.4871300138243173</v>
      </c>
      <c r="F101" s="5">
        <v>5.708256738691075</v>
      </c>
    </row>
    <row r="102" spans="1:6">
      <c r="A102" s="4">
        <v>44287</v>
      </c>
      <c r="B102" s="6">
        <v>2815.2920943600134</v>
      </c>
      <c r="C102" s="5">
        <v>521.75001295000163</v>
      </c>
      <c r="D102" s="5">
        <v>4.289420889474953</v>
      </c>
      <c r="E102" s="5">
        <v>7.1673779841590468</v>
      </c>
      <c r="F102" s="5">
        <v>6.258048022457678</v>
      </c>
    </row>
    <row r="103" spans="1:6">
      <c r="A103" s="4">
        <v>44317</v>
      </c>
      <c r="B103" s="6">
        <v>2901.5480793500255</v>
      </c>
      <c r="C103" s="5">
        <v>527.21429149000028</v>
      </c>
      <c r="D103" s="5">
        <v>4.6315567619538784</v>
      </c>
      <c r="E103" s="5">
        <v>7.3162639709813719</v>
      </c>
      <c r="F103" s="5">
        <v>6.4548411145866851</v>
      </c>
    </row>
    <row r="104" spans="1:6">
      <c r="A104" s="4">
        <v>44348</v>
      </c>
      <c r="B104" s="6">
        <v>3320.652178529981</v>
      </c>
      <c r="C104" s="5">
        <v>572.68938953000031</v>
      </c>
      <c r="D104" s="5">
        <v>4.5475498269651817</v>
      </c>
      <c r="E104" s="5">
        <v>7.0302322349432584</v>
      </c>
      <c r="F104" s="5">
        <v>6.2356769636106151</v>
      </c>
    </row>
    <row r="105" spans="1:6">
      <c r="A105" s="4">
        <v>44378</v>
      </c>
      <c r="B105" s="6">
        <v>3202.7748126699762</v>
      </c>
      <c r="C105" s="5">
        <v>599.13352939000038</v>
      </c>
      <c r="D105" s="5">
        <v>4.4612282556317044</v>
      </c>
      <c r="E105" s="5">
        <v>6.9923682920270442</v>
      </c>
      <c r="F105" s="5">
        <v>6.1737359796800488</v>
      </c>
    </row>
    <row r="106" spans="1:6">
      <c r="A106" s="4">
        <v>44409</v>
      </c>
      <c r="B106" s="6">
        <v>3306.4084954999726</v>
      </c>
      <c r="C106" s="5">
        <v>603.95873348999999</v>
      </c>
      <c r="D106" s="5">
        <v>4.3955126776103057</v>
      </c>
      <c r="E106" s="5">
        <v>6.8898870132709105</v>
      </c>
      <c r="F106" s="5">
        <v>6.0693785502455295</v>
      </c>
    </row>
    <row r="107" spans="1:6">
      <c r="A107" s="4">
        <v>44440</v>
      </c>
      <c r="B107" s="6">
        <v>3339.8848355099717</v>
      </c>
      <c r="C107" s="5">
        <v>606.24478595000028</v>
      </c>
      <c r="D107" s="5">
        <v>4.2001580306956692</v>
      </c>
      <c r="E107" s="5">
        <v>6.6016070879525754</v>
      </c>
      <c r="F107" s="5">
        <v>5.8070782037973201</v>
      </c>
    </row>
    <row r="108" spans="1:6">
      <c r="A108" s="4">
        <v>44470</v>
      </c>
      <c r="B108" s="6">
        <v>3086.2733947099805</v>
      </c>
      <c r="C108" s="5">
        <v>553.02884802000051</v>
      </c>
      <c r="D108" s="5">
        <v>4.045252462574136</v>
      </c>
      <c r="E108" s="5">
        <v>6.5665641836811517</v>
      </c>
      <c r="F108" s="5">
        <v>5.7368008109192088</v>
      </c>
    </row>
    <row r="109" spans="1:6">
      <c r="A109" s="4">
        <v>44501</v>
      </c>
      <c r="B109" s="6">
        <v>3224.528168489986</v>
      </c>
      <c r="C109" s="5">
        <v>584.38086565000071</v>
      </c>
      <c r="D109" s="5">
        <v>3.9917254670225075</v>
      </c>
      <c r="E109" s="5">
        <v>6.5820645537072311</v>
      </c>
      <c r="F109" s="5">
        <v>5.7226100223997269</v>
      </c>
    </row>
    <row r="110" spans="1:6">
      <c r="A110" s="4">
        <v>44531</v>
      </c>
      <c r="B110" s="6">
        <v>3571.1005613500138</v>
      </c>
      <c r="C110" s="5">
        <v>582.63627606999989</v>
      </c>
      <c r="D110" s="5">
        <v>3.793409402795469</v>
      </c>
      <c r="E110" s="5">
        <v>5.911537790037789</v>
      </c>
      <c r="F110" s="5">
        <v>5.2030777532511756</v>
      </c>
    </row>
    <row r="111" spans="1:6">
      <c r="A111" s="4">
        <v>44562</v>
      </c>
      <c r="B111" s="6">
        <v>2968.829737099999</v>
      </c>
      <c r="C111" s="5">
        <v>544.81910239999957</v>
      </c>
      <c r="D111" s="5">
        <v>4.1923240991186876</v>
      </c>
      <c r="E111" s="5">
        <v>6.4983788276858396</v>
      </c>
      <c r="F111" s="5">
        <v>5.7213145619118766</v>
      </c>
    </row>
    <row r="112" spans="1:6">
      <c r="A112" s="4">
        <v>44593</v>
      </c>
      <c r="B112" s="6">
        <v>3308.5502238699905</v>
      </c>
      <c r="C112" s="5">
        <v>599.69113059999961</v>
      </c>
      <c r="D112" s="5">
        <v>4.0189004981484402</v>
      </c>
      <c r="E112" s="5">
        <v>6.4583028785435408</v>
      </c>
      <c r="F112" s="5">
        <v>5.6434520221170565</v>
      </c>
    </row>
    <row r="113" spans="1:6">
      <c r="A113" s="4">
        <v>44621</v>
      </c>
      <c r="B113" s="6">
        <v>3948.8622613500038</v>
      </c>
      <c r="C113" s="5">
        <v>685.01802392000013</v>
      </c>
      <c r="D113" s="5">
        <v>4.1093784131188302</v>
      </c>
      <c r="E113" s="5">
        <v>6.1387247852244391</v>
      </c>
      <c r="F113" s="5">
        <v>5.462793009842934</v>
      </c>
    </row>
    <row r="114" spans="1:6">
      <c r="A114" s="4">
        <v>44652</v>
      </c>
      <c r="B114" s="6">
        <v>3560.4904845700094</v>
      </c>
      <c r="C114" s="5">
        <v>627.65410933999692</v>
      </c>
      <c r="D114" s="5">
        <v>4.1694769962898706</v>
      </c>
      <c r="E114" s="5">
        <v>6.385370632027132</v>
      </c>
      <c r="F114" s="5">
        <v>5.6516526653780144</v>
      </c>
    </row>
    <row r="115" spans="1:6">
      <c r="A115" s="4">
        <v>44682</v>
      </c>
      <c r="B115" s="6">
        <v>3800.5410289199895</v>
      </c>
      <c r="C115" s="5">
        <v>657.04020835999722</v>
      </c>
      <c r="D115" s="5">
        <v>4.1588072308652988</v>
      </c>
      <c r="E115" s="5">
        <v>6.214897090124067</v>
      </c>
      <c r="F115" s="5">
        <v>5.5348623212480952</v>
      </c>
    </row>
    <row r="116" spans="1:6">
      <c r="A116" s="4">
        <v>44713</v>
      </c>
      <c r="B116" s="6">
        <v>3403.7701465900263</v>
      </c>
      <c r="C116" s="5">
        <v>562.41613284999721</v>
      </c>
      <c r="D116" s="5">
        <v>4.4143181317109956</v>
      </c>
      <c r="E116" s="5">
        <v>6.5602511410199211</v>
      </c>
      <c r="F116" s="5">
        <v>5.8638194222408631</v>
      </c>
    </row>
    <row r="117" spans="1:6">
      <c r="A117" s="4">
        <v>44743</v>
      </c>
      <c r="B117" s="6">
        <v>3449.2115287200131</v>
      </c>
      <c r="C117" s="5">
        <v>701.68554983999729</v>
      </c>
      <c r="D117" s="5">
        <v>4.4777027534671836</v>
      </c>
      <c r="E117" s="5">
        <v>6.4512231967803828</v>
      </c>
      <c r="F117" s="5">
        <v>5.8172656273365586</v>
      </c>
    </row>
    <row r="118" spans="1:6">
      <c r="A118" s="4">
        <v>44774</v>
      </c>
      <c r="B118" s="6">
        <v>3926.1008209800116</v>
      </c>
      <c r="C118" s="5">
        <v>711.94587709000007</v>
      </c>
      <c r="D118" s="5">
        <v>4.6979138240598139</v>
      </c>
      <c r="E118" s="5">
        <v>6.2762196251937432</v>
      </c>
      <c r="F118" s="5">
        <v>5.7673420748422135</v>
      </c>
    </row>
    <row r="119" spans="1:6">
      <c r="A119" s="4">
        <v>44805</v>
      </c>
      <c r="B119" s="6">
        <v>3708.3235875000128</v>
      </c>
      <c r="C119" s="5">
        <v>716.18830332999983</v>
      </c>
      <c r="D119" s="5">
        <v>4.5468917613333764</v>
      </c>
      <c r="E119" s="5">
        <v>6.0227672633043978</v>
      </c>
      <c r="F119" s="5">
        <v>5.5456924794510334</v>
      </c>
    </row>
    <row r="120" spans="1:6">
      <c r="A120" s="4">
        <v>44835</v>
      </c>
      <c r="B120" s="6">
        <v>3453.66206293</v>
      </c>
      <c r="C120" s="5">
        <v>720.78543162000005</v>
      </c>
      <c r="D120" s="5">
        <v>4.5517905989699754</v>
      </c>
      <c r="E120" s="5">
        <v>6.0985512283567713</v>
      </c>
      <c r="F120" s="5">
        <v>5.6018122852536179</v>
      </c>
    </row>
    <row r="121" spans="1:6">
      <c r="A121" s="4">
        <v>44866</v>
      </c>
      <c r="B121" s="6">
        <v>3321.9800100299935</v>
      </c>
      <c r="C121" s="5">
        <v>674.83128027000009</v>
      </c>
      <c r="D121" s="5">
        <v>4.5784574870827317</v>
      </c>
      <c r="E121" s="5">
        <v>6.0500133614496239</v>
      </c>
      <c r="F121" s="5">
        <v>5.5736454717830899</v>
      </c>
    </row>
    <row r="122" spans="1:6">
      <c r="A122" s="4">
        <v>44896</v>
      </c>
      <c r="B122" s="6">
        <v>3248.2189998400117</v>
      </c>
      <c r="C122" s="5">
        <v>644.09389464000026</v>
      </c>
      <c r="D122" s="5">
        <v>4.6985821343115184</v>
      </c>
      <c r="E122" s="5">
        <v>5.438327065335919</v>
      </c>
      <c r="F122" s="5">
        <v>5.1866374663067649</v>
      </c>
    </row>
    <row r="123" spans="1:6">
      <c r="A123" s="4">
        <v>44927</v>
      </c>
      <c r="B123" s="6">
        <v>3556.8651748499919</v>
      </c>
      <c r="C123" s="5">
        <v>653.56556609999927</v>
      </c>
      <c r="D123" s="5">
        <v>6.1421138302745204</v>
      </c>
      <c r="E123" s="5">
        <v>8.1054219988681417</v>
      </c>
      <c r="F123" s="5">
        <v>7.4663334538640393</v>
      </c>
    </row>
    <row r="124" spans="1:6">
      <c r="A124" s="4">
        <v>44958</v>
      </c>
      <c r="B124" s="6">
        <v>3321.8043181999969</v>
      </c>
      <c r="C124" s="5">
        <v>593.76570529999935</v>
      </c>
      <c r="D124" s="5">
        <v>6.5534416961679085</v>
      </c>
      <c r="E124" s="5">
        <v>8.3523325883491673</v>
      </c>
      <c r="F124" s="5">
        <v>7.7633131098759689</v>
      </c>
    </row>
    <row r="125" spans="1:6">
      <c r="A125" s="4">
        <v>44986</v>
      </c>
      <c r="B125" s="6">
        <v>3987.4874663500141</v>
      </c>
      <c r="C125" s="5">
        <v>746.35734875999935</v>
      </c>
      <c r="D125" s="5">
        <v>6.3481305517368911</v>
      </c>
      <c r="E125" s="5">
        <v>8.2486261382875607</v>
      </c>
      <c r="F125" s="5">
        <v>7.6330969172887482</v>
      </c>
    </row>
    <row r="126" spans="1:6">
      <c r="A126" s="4">
        <v>45017</v>
      </c>
      <c r="B126" s="6">
        <v>3292.051590769976</v>
      </c>
      <c r="C126" s="5">
        <v>576.55532449000009</v>
      </c>
      <c r="D126" s="5">
        <v>6.5724181653292231</v>
      </c>
      <c r="E126" s="5">
        <v>8.5442522554188578</v>
      </c>
      <c r="F126" s="5">
        <v>7.9068005244046642</v>
      </c>
    </row>
    <row r="127" spans="1:6">
      <c r="A127" s="4">
        <v>45047</v>
      </c>
      <c r="B127" s="6">
        <v>3628.1061460600095</v>
      </c>
      <c r="C127" s="5">
        <v>621.53617344999816</v>
      </c>
      <c r="D127" s="5">
        <v>6.8229254576205518</v>
      </c>
      <c r="E127" s="5">
        <v>8.611323799013876</v>
      </c>
      <c r="F127" s="5">
        <v>8.0297387219443994</v>
      </c>
    </row>
    <row r="128" spans="1:6">
      <c r="A128" s="4">
        <v>45078</v>
      </c>
      <c r="B128" s="6">
        <v>3508.5640476999724</v>
      </c>
      <c r="C128" s="5">
        <v>665.35491073999981</v>
      </c>
      <c r="D128" s="5">
        <v>6.600282088888096</v>
      </c>
      <c r="E128" s="5">
        <v>8.7913121053116488</v>
      </c>
      <c r="F128" s="5">
        <v>8.0923032982813083</v>
      </c>
    </row>
    <row r="129" spans="1:6">
      <c r="A129" s="4">
        <v>45108</v>
      </c>
      <c r="B129" s="6">
        <v>3323.4732606299863</v>
      </c>
      <c r="C129" s="5">
        <v>627.94595079000044</v>
      </c>
      <c r="D129" s="5">
        <v>6.8543170354245664</v>
      </c>
      <c r="E129" s="5">
        <v>8.6875247288849096</v>
      </c>
      <c r="F129" s="5">
        <v>8.0937585460309247</v>
      </c>
    </row>
    <row r="130" spans="1:6">
      <c r="A130" s="4">
        <v>45139</v>
      </c>
      <c r="B130" s="6">
        <v>3565.1382768099888</v>
      </c>
      <c r="C130" s="5">
        <v>632.7292924700007</v>
      </c>
      <c r="D130" s="5">
        <v>7.0005605867025773</v>
      </c>
      <c r="E130" s="5">
        <v>8.6656114046111146</v>
      </c>
      <c r="F130" s="5">
        <v>8.1248656677835349</v>
      </c>
    </row>
    <row r="131" spans="1:6">
      <c r="A131" s="4">
        <v>45170</v>
      </c>
      <c r="B131" s="6">
        <v>3492.6609541599919</v>
      </c>
      <c r="C131" s="5">
        <v>607.70488006000096</v>
      </c>
      <c r="D131" s="5">
        <v>7.0620520549142212</v>
      </c>
      <c r="E131" s="5">
        <v>9.1109020159502307</v>
      </c>
      <c r="F131" s="5">
        <v>8.4543866966034944</v>
      </c>
    </row>
    <row r="132" spans="1:6">
      <c r="A132" s="4">
        <v>45200</v>
      </c>
      <c r="B132" s="6">
        <v>3557.1039105999894</v>
      </c>
      <c r="C132" s="5">
        <v>597.91546427999992</v>
      </c>
      <c r="D132" s="5">
        <v>7.1823103736621983</v>
      </c>
      <c r="E132" s="5">
        <v>9.7593607518972565</v>
      </c>
      <c r="F132" s="5">
        <v>8.9289077680554314</v>
      </c>
    </row>
    <row r="133" spans="1:6">
      <c r="A133" s="4">
        <v>45231</v>
      </c>
      <c r="B133" s="6">
        <v>3437.6628015199799</v>
      </c>
      <c r="C133" s="5">
        <v>562.37493158000029</v>
      </c>
      <c r="D133" s="5">
        <v>7.3527552337189537</v>
      </c>
      <c r="E133" s="5">
        <v>10.139824120180741</v>
      </c>
      <c r="F133" s="5">
        <v>9.2434687881134661</v>
      </c>
    </row>
    <row r="134" spans="1:6">
      <c r="A134" s="4">
        <v>45261</v>
      </c>
      <c r="B134" s="6">
        <v>3039.7129524100087</v>
      </c>
      <c r="C134" s="5">
        <v>534.27923118000012</v>
      </c>
      <c r="D134" s="5">
        <v>6.6354685775641684</v>
      </c>
      <c r="E134" s="5">
        <v>9.3505155369885387</v>
      </c>
      <c r="F134" s="5">
        <v>8.4830422965845678</v>
      </c>
    </row>
    <row r="135" spans="1:6">
      <c r="A135" s="4">
        <v>45292</v>
      </c>
      <c r="B135" s="6">
        <v>3377.5814135800038</v>
      </c>
      <c r="C135" s="5">
        <v>538.99310675999823</v>
      </c>
      <c r="D135" s="5">
        <v>7.0249639560985759</v>
      </c>
      <c r="E135" s="5">
        <v>10.328446878757081</v>
      </c>
      <c r="F135" s="5">
        <v>9.2706717296709087</v>
      </c>
    </row>
    <row r="136" spans="1:6">
      <c r="A136" s="4">
        <v>45323</v>
      </c>
      <c r="B136" s="6">
        <v>3352.6226357999913</v>
      </c>
      <c r="C136" s="5">
        <v>535.81526883999982</v>
      </c>
      <c r="D136" s="5">
        <v>7.2849883050825888</v>
      </c>
      <c r="E136" s="5">
        <v>10.775158708708963</v>
      </c>
      <c r="F136" s="5">
        <v>9.6589753929092321</v>
      </c>
    </row>
    <row r="137" spans="1:6">
      <c r="A137" s="4">
        <v>45352</v>
      </c>
      <c r="B137" s="6">
        <v>3686.925646299992</v>
      </c>
      <c r="C137" s="5">
        <v>573.77548385999933</v>
      </c>
      <c r="D137" s="5">
        <v>7.1781289583807739</v>
      </c>
      <c r="E137" s="5">
        <v>11.382301316435431</v>
      </c>
      <c r="F137" s="5">
        <v>10.023996906506904</v>
      </c>
    </row>
    <row r="138" spans="1:6">
      <c r="A138" s="4">
        <v>45383</v>
      </c>
      <c r="B138" s="6">
        <v>3525.922857589976</v>
      </c>
      <c r="C138" s="5">
        <v>542.37507021999863</v>
      </c>
      <c r="D138" s="5">
        <v>7.4755574228321642</v>
      </c>
      <c r="E138" s="5">
        <v>11.50647570274878</v>
      </c>
      <c r="F138" s="5">
        <v>10.197121233487625</v>
      </c>
    </row>
    <row r="139" spans="1:6">
      <c r="A139" s="4">
        <v>45413</v>
      </c>
      <c r="B139" s="6">
        <v>3574.3290175499919</v>
      </c>
      <c r="C139" s="5">
        <v>574.3234514400001</v>
      </c>
      <c r="D139" s="5">
        <v>7.6965465607299253</v>
      </c>
      <c r="E139" s="5">
        <v>11.705734232395415</v>
      </c>
      <c r="F139" s="5">
        <v>10.3974451171899</v>
      </c>
    </row>
    <row r="140" spans="1:6">
      <c r="A140" s="4">
        <v>45444</v>
      </c>
      <c r="B140" s="6">
        <v>3569.8672673399974</v>
      </c>
      <c r="C140" s="5">
        <v>566.57020206000016</v>
      </c>
      <c r="D140" s="5">
        <v>7.3858110382239177</v>
      </c>
      <c r="E140" s="5">
        <v>11.042517964948869</v>
      </c>
      <c r="F140" s="5">
        <v>9.8440741664020308</v>
      </c>
    </row>
    <row r="141" spans="1:6">
      <c r="A141" s="4">
        <v>45474</v>
      </c>
      <c r="B141" s="6">
        <v>3691.2867430199944</v>
      </c>
      <c r="C141" s="5">
        <v>561.61788611999907</v>
      </c>
      <c r="D141" s="5">
        <v>7.8400648103813868</v>
      </c>
      <c r="E141" s="5">
        <v>11.375165013479512</v>
      </c>
      <c r="F141" s="5">
        <v>10.202499545124248</v>
      </c>
    </row>
    <row r="142" spans="1:6">
      <c r="A142" s="4">
        <v>45505</v>
      </c>
      <c r="B142" s="6">
        <v>3870.9821100799777</v>
      </c>
      <c r="C142" s="5">
        <v>564.56592004999982</v>
      </c>
      <c r="D142" s="5">
        <v>7.8641482100034175</v>
      </c>
      <c r="E142" s="5">
        <v>11.570477242936708</v>
      </c>
      <c r="F142" s="5">
        <v>10.344129352999474</v>
      </c>
    </row>
    <row r="143" spans="1:6">
      <c r="A143" s="4">
        <v>45536</v>
      </c>
      <c r="B143" s="6">
        <v>3807.5909063100066</v>
      </c>
      <c r="C143" s="5">
        <v>537.71630593000077</v>
      </c>
      <c r="D143" s="5">
        <v>8.125934309349212</v>
      </c>
      <c r="E143" s="5">
        <v>11.859679742003149</v>
      </c>
      <c r="F143" s="5">
        <v>10.616066682031116</v>
      </c>
    </row>
    <row r="144" spans="1:6">
      <c r="A144" s="4">
        <v>45566</v>
      </c>
      <c r="B144" s="6">
        <v>4105.0389907699673</v>
      </c>
      <c r="C144" s="5">
        <v>574.6080683800003</v>
      </c>
      <c r="D144" s="5">
        <v>7.3153055819584516</v>
      </c>
      <c r="E144" s="5">
        <v>11.965452912212161</v>
      </c>
      <c r="F144" s="5">
        <v>10.442222345360101</v>
      </c>
    </row>
    <row r="145" spans="1:6">
      <c r="A145" s="4">
        <v>45597</v>
      </c>
      <c r="B145" s="6">
        <v>3920.9131445599974</v>
      </c>
      <c r="C145" s="5">
        <v>544.5046179000002</v>
      </c>
      <c r="D145" s="5">
        <v>7.2779599284780465</v>
      </c>
      <c r="E145" s="5">
        <v>11.743357753603194</v>
      </c>
      <c r="F145" s="5">
        <v>10.272201101424496</v>
      </c>
    </row>
    <row r="146" spans="1:6">
      <c r="A146" s="4">
        <v>45627</v>
      </c>
      <c r="B146" s="6">
        <v>4032.1028150600041</v>
      </c>
      <c r="C146" s="5">
        <v>516.17029770999989</v>
      </c>
      <c r="D146" s="5">
        <v>6.6019699824902203</v>
      </c>
      <c r="E146" s="5">
        <v>10.46691668963696</v>
      </c>
      <c r="F146" s="5">
        <v>9.1778836933459793</v>
      </c>
    </row>
    <row r="147" spans="1:6">
      <c r="A147" s="4">
        <v>45658</v>
      </c>
      <c r="B147" s="6">
        <v>3815.4965314599785</v>
      </c>
      <c r="C147" s="5">
        <v>508.88754157999966</v>
      </c>
      <c r="D147" s="5">
        <v>6.4531153371016767</v>
      </c>
      <c r="E147" s="5">
        <v>10.697135476155651</v>
      </c>
      <c r="F147" s="5">
        <v>9.2844082080594283</v>
      </c>
    </row>
    <row r="148" spans="1:6">
      <c r="A148" s="4">
        <v>45689</v>
      </c>
      <c r="B148" s="6">
        <v>4387.0758524899911</v>
      </c>
      <c r="C148" s="5">
        <v>548.96354569000016</v>
      </c>
      <c r="D148" s="5">
        <v>6.4533982380192256</v>
      </c>
      <c r="E148" s="5">
        <v>10.707245067434203</v>
      </c>
      <c r="F148" s="5">
        <v>9.2877951220179629</v>
      </c>
    </row>
    <row r="149" spans="1:6">
      <c r="A149" s="4">
        <v>45717</v>
      </c>
      <c r="B149" s="6">
        <v>4115.2411131199779</v>
      </c>
      <c r="C149" s="5">
        <v>537.10373641000001</v>
      </c>
      <c r="D149" s="5">
        <v>6.3563864011848716</v>
      </c>
      <c r="E149" s="5">
        <v>10.870772611588851</v>
      </c>
      <c r="F149" s="5">
        <v>9.3785397105735555</v>
      </c>
    </row>
    <row r="150" spans="1:6">
      <c r="A150" s="4">
        <v>45748</v>
      </c>
      <c r="B150" s="6">
        <v>4027.8118552299793</v>
      </c>
      <c r="C150" s="5">
        <v>567.29455976999907</v>
      </c>
      <c r="D150" s="5">
        <v>6.6006292813738208</v>
      </c>
      <c r="E150" s="5">
        <v>10.94535674849187</v>
      </c>
      <c r="F150" s="5">
        <v>9.510614974833496</v>
      </c>
    </row>
    <row r="151" spans="1:6">
      <c r="A151" s="4">
        <v>45778</v>
      </c>
      <c r="B151" s="6">
        <v>4250.6226485300058</v>
      </c>
      <c r="C151" s="5">
        <v>610.49044385000138</v>
      </c>
      <c r="D151" s="5">
        <v>6.8991070244454296</v>
      </c>
      <c r="E151" s="5">
        <v>11.023282809958785</v>
      </c>
      <c r="F151" s="5">
        <v>9.6615315560283701</v>
      </c>
    </row>
    <row r="152" spans="1:6">
      <c r="A152" s="4">
        <v>45809</v>
      </c>
      <c r="B152" s="6">
        <v>4199.4937369800127</v>
      </c>
      <c r="C152" s="5">
        <v>635.42041469000333</v>
      </c>
      <c r="D152" s="5">
        <v>7.1723122756041384</v>
      </c>
      <c r="E152" s="5">
        <v>10.915113525461608</v>
      </c>
      <c r="F152" s="5">
        <v>9.6728912883139966</v>
      </c>
    </row>
    <row r="153" spans="1:6">
      <c r="A153" s="4">
        <v>45839</v>
      </c>
      <c r="B153" s="6">
        <v>4239.7733448300505</v>
      </c>
      <c r="C153" s="5">
        <v>655.79002983000009</v>
      </c>
      <c r="D153" s="5">
        <v>7.1582441219176456</v>
      </c>
      <c r="E153" s="5">
        <v>10.730117863509657</v>
      </c>
      <c r="F153" s="5">
        <v>9.5211799070341971</v>
      </c>
    </row>
    <row r="154" spans="1:6">
      <c r="A154" s="4">
        <v>45870</v>
      </c>
      <c r="B154" s="6">
        <v>4084.8424091800152</v>
      </c>
      <c r="C154" s="5">
        <v>599.59483491999993</v>
      </c>
      <c r="D154" s="5">
        <v>7.3385413918225382</v>
      </c>
      <c r="E154" s="5">
        <v>10.796083396177965</v>
      </c>
      <c r="F154" s="5">
        <v>9.6420165676527887</v>
      </c>
    </row>
    <row r="155" spans="1:6">
      <c r="A155" s="4">
        <v>45901</v>
      </c>
      <c r="B155" s="6">
        <v>4480.5213841099967</v>
      </c>
      <c r="C155" s="5">
        <v>646.59319006000044</v>
      </c>
      <c r="D155" s="5">
        <v>6.8507494846846724</v>
      </c>
      <c r="E155" s="5">
        <v>10.634016720420618</v>
      </c>
      <c r="F155" s="5">
        <v>9.3819073097977732</v>
      </c>
    </row>
    <row r="156" spans="1:6">
      <c r="A156" s="4">
        <v>45931</v>
      </c>
      <c r="B156" s="6">
        <v>4891.9113914900263</v>
      </c>
      <c r="C156" s="5">
        <v>650.8937135000001</v>
      </c>
      <c r="D156" s="5">
        <v>6.8855409306138533</v>
      </c>
      <c r="E156" s="5">
        <v>10.649209750198136</v>
      </c>
      <c r="F156" s="5">
        <v>9.3991399296372737</v>
      </c>
    </row>
    <row r="157" spans="1:6">
      <c r="A157" s="4">
        <v>45962</v>
      </c>
      <c r="B157" s="6">
        <v>4490.4185941600244</v>
      </c>
      <c r="C157" s="5">
        <v>588.15874486000064</v>
      </c>
      <c r="D157" s="5">
        <v>6.6435674597575582</v>
      </c>
      <c r="E157" s="5">
        <v>10.6283344232295</v>
      </c>
      <c r="F157" s="5">
        <v>9.3034219163011738</v>
      </c>
    </row>
    <row r="158" spans="1:6">
      <c r="A158" s="4">
        <v>45992</v>
      </c>
      <c r="B158" s="6">
        <v>4110.8794481799951</v>
      </c>
      <c r="C158" s="5">
        <v>624.07128714000021</v>
      </c>
      <c r="D158" s="5">
        <v>6.3852730071023265</v>
      </c>
      <c r="E158" s="5">
        <v>9.9874042837486865</v>
      </c>
      <c r="F158" s="5">
        <v>8.7829235062005697</v>
      </c>
    </row>
    <row r="159" spans="1:6">
      <c r="A159" s="4">
        <v>46023</v>
      </c>
      <c r="B159" s="6">
        <v>3743.0719883700149</v>
      </c>
      <c r="C159" s="5">
        <v>583.40768953999998</v>
      </c>
      <c r="D159" s="5">
        <v>6.7039254474673378</v>
      </c>
      <c r="E159" s="5">
        <v>10.580643806565057</v>
      </c>
      <c r="F159" s="5">
        <v>9.2738649597120535</v>
      </c>
    </row>
    <row r="160" spans="1:6">
      <c r="A160" s="4"/>
      <c r="B160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F0BE7-B1BF-401F-81EA-ACF363BF306E}">
  <dimension ref="A1:B73"/>
  <sheetViews>
    <sheetView workbookViewId="0">
      <selection activeCell="G12" sqref="G12"/>
    </sheetView>
  </sheetViews>
  <sheetFormatPr baseColWidth="10" defaultColWidth="11.42578125" defaultRowHeight="15"/>
  <sheetData>
    <row r="1" spans="1:2">
      <c r="A1" s="1" t="s">
        <v>52</v>
      </c>
    </row>
    <row r="2" spans="1:2">
      <c r="A2" t="s">
        <v>53</v>
      </c>
      <c r="B2" t="s">
        <v>54</v>
      </c>
    </row>
    <row r="3" spans="1:2">
      <c r="A3" s="4">
        <v>43831</v>
      </c>
      <c r="B3">
        <v>353</v>
      </c>
    </row>
    <row r="4" spans="1:2">
      <c r="A4" s="4">
        <v>43862</v>
      </c>
      <c r="B4">
        <v>300</v>
      </c>
    </row>
    <row r="5" spans="1:2">
      <c r="A5" s="4">
        <v>43891</v>
      </c>
      <c r="B5">
        <v>209</v>
      </c>
    </row>
    <row r="6" spans="1:2">
      <c r="A6" s="4">
        <v>43922</v>
      </c>
      <c r="B6">
        <v>24</v>
      </c>
    </row>
    <row r="7" spans="1:2">
      <c r="A7" s="4">
        <v>43952</v>
      </c>
      <c r="B7">
        <v>11</v>
      </c>
    </row>
    <row r="8" spans="1:2">
      <c r="A8" s="4">
        <v>43983</v>
      </c>
      <c r="B8">
        <v>36</v>
      </c>
    </row>
    <row r="9" spans="1:2">
      <c r="A9" s="4">
        <v>44013</v>
      </c>
      <c r="B9">
        <v>339</v>
      </c>
    </row>
    <row r="10" spans="1:2">
      <c r="A10" s="4">
        <v>44044</v>
      </c>
      <c r="B10">
        <v>355</v>
      </c>
    </row>
    <row r="11" spans="1:2">
      <c r="A11" s="4">
        <v>44075</v>
      </c>
      <c r="B11">
        <v>279</v>
      </c>
    </row>
    <row r="12" spans="1:2">
      <c r="A12" s="4">
        <v>44105</v>
      </c>
      <c r="B12">
        <v>225</v>
      </c>
    </row>
    <row r="13" spans="1:2">
      <c r="A13" s="4">
        <v>44136</v>
      </c>
      <c r="B13">
        <v>292</v>
      </c>
    </row>
    <row r="14" spans="1:2">
      <c r="A14" s="4">
        <v>44166</v>
      </c>
      <c r="B14">
        <v>288</v>
      </c>
    </row>
    <row r="15" spans="1:2">
      <c r="A15" s="4">
        <v>44197</v>
      </c>
      <c r="B15">
        <v>236</v>
      </c>
    </row>
    <row r="16" spans="1:2">
      <c r="A16" s="4">
        <v>44228</v>
      </c>
      <c r="B16">
        <v>320</v>
      </c>
    </row>
    <row r="17" spans="1:2">
      <c r="A17" s="4">
        <v>44256</v>
      </c>
      <c r="B17">
        <v>339</v>
      </c>
    </row>
    <row r="18" spans="1:2">
      <c r="A18" s="4">
        <v>44287</v>
      </c>
      <c r="B18">
        <v>187</v>
      </c>
    </row>
    <row r="19" spans="1:2">
      <c r="A19" s="4">
        <v>44317</v>
      </c>
      <c r="B19">
        <v>89</v>
      </c>
    </row>
    <row r="20" spans="1:2">
      <c r="A20" s="4">
        <v>44348</v>
      </c>
      <c r="B20">
        <v>265</v>
      </c>
    </row>
    <row r="21" spans="1:2">
      <c r="A21" s="4">
        <v>44378</v>
      </c>
      <c r="B21">
        <v>258</v>
      </c>
    </row>
    <row r="22" spans="1:2">
      <c r="A22" s="4">
        <v>44409</v>
      </c>
      <c r="B22">
        <v>298</v>
      </c>
    </row>
    <row r="23" spans="1:2">
      <c r="A23" s="4">
        <v>44440</v>
      </c>
      <c r="B23">
        <v>292</v>
      </c>
    </row>
    <row r="24" spans="1:2">
      <c r="A24" s="4">
        <v>44470</v>
      </c>
      <c r="B24">
        <v>242</v>
      </c>
    </row>
    <row r="25" spans="1:2">
      <c r="A25" s="4">
        <v>44501</v>
      </c>
      <c r="B25">
        <v>277</v>
      </c>
    </row>
    <row r="26" spans="1:2">
      <c r="A26" s="4">
        <v>44531</v>
      </c>
      <c r="B26">
        <v>342</v>
      </c>
    </row>
    <row r="27" spans="1:2">
      <c r="A27" s="4">
        <v>44562</v>
      </c>
      <c r="B27">
        <v>270</v>
      </c>
    </row>
    <row r="28" spans="1:2">
      <c r="A28" s="4">
        <v>44593</v>
      </c>
      <c r="B28">
        <v>212</v>
      </c>
    </row>
    <row r="29" spans="1:2">
      <c r="A29" s="4">
        <v>44621</v>
      </c>
      <c r="B29">
        <v>175</v>
      </c>
    </row>
    <row r="30" spans="1:2">
      <c r="A30" s="4">
        <v>44652</v>
      </c>
      <c r="B30">
        <v>306</v>
      </c>
    </row>
    <row r="31" spans="1:2">
      <c r="A31" s="4">
        <v>44682</v>
      </c>
      <c r="B31">
        <v>290</v>
      </c>
    </row>
    <row r="32" spans="1:2">
      <c r="A32" s="4">
        <v>44713</v>
      </c>
      <c r="B32">
        <v>268</v>
      </c>
    </row>
    <row r="33" spans="1:2">
      <c r="A33" s="4">
        <v>44743</v>
      </c>
      <c r="B33">
        <v>265</v>
      </c>
    </row>
    <row r="34" spans="1:2">
      <c r="A34" s="4">
        <v>44774</v>
      </c>
      <c r="B34">
        <v>240</v>
      </c>
    </row>
    <row r="35" spans="1:2">
      <c r="A35" s="4">
        <v>44805</v>
      </c>
      <c r="B35">
        <v>224</v>
      </c>
    </row>
    <row r="36" spans="1:2">
      <c r="A36" s="4">
        <v>44835</v>
      </c>
      <c r="B36">
        <v>222</v>
      </c>
    </row>
    <row r="37" spans="1:2">
      <c r="A37" s="4">
        <v>44866</v>
      </c>
      <c r="B37">
        <v>208</v>
      </c>
    </row>
    <row r="38" spans="1:2">
      <c r="A38" s="4">
        <v>44896</v>
      </c>
      <c r="B38">
        <v>231</v>
      </c>
    </row>
    <row r="39" spans="1:2">
      <c r="A39" s="4">
        <v>44927</v>
      </c>
      <c r="B39">
        <v>234</v>
      </c>
    </row>
    <row r="40" spans="1:2">
      <c r="A40" s="4">
        <v>44958</v>
      </c>
      <c r="B40">
        <v>226</v>
      </c>
    </row>
    <row r="41" spans="1:2">
      <c r="A41" s="4">
        <v>44986</v>
      </c>
      <c r="B41">
        <v>219</v>
      </c>
    </row>
    <row r="42" spans="1:2">
      <c r="A42" s="4">
        <v>45017</v>
      </c>
      <c r="B42">
        <v>214</v>
      </c>
    </row>
    <row r="43" spans="1:2">
      <c r="A43" s="4">
        <v>45047</v>
      </c>
      <c r="B43">
        <v>199</v>
      </c>
    </row>
    <row r="44" spans="1:2">
      <c r="A44" s="4">
        <v>45078</v>
      </c>
      <c r="B44">
        <v>211</v>
      </c>
    </row>
    <row r="45" spans="1:2">
      <c r="A45" s="4">
        <v>45108</v>
      </c>
      <c r="B45">
        <v>208</v>
      </c>
    </row>
    <row r="46" spans="1:2">
      <c r="A46" s="4">
        <v>45139</v>
      </c>
      <c r="B46">
        <v>182</v>
      </c>
    </row>
    <row r="47" spans="1:2">
      <c r="A47" s="4">
        <v>45170</v>
      </c>
      <c r="B47">
        <v>141</v>
      </c>
    </row>
    <row r="48" spans="1:2">
      <c r="A48" s="4">
        <v>45200</v>
      </c>
      <c r="B48">
        <v>193</v>
      </c>
    </row>
    <row r="49" spans="1:2">
      <c r="A49" s="4">
        <v>45231</v>
      </c>
      <c r="B49">
        <v>176</v>
      </c>
    </row>
    <row r="50" spans="1:2">
      <c r="A50" s="4">
        <v>45261</v>
      </c>
      <c r="B50">
        <v>169</v>
      </c>
    </row>
    <row r="51" spans="1:2">
      <c r="A51" s="4">
        <v>45292</v>
      </c>
      <c r="B51">
        <v>187</v>
      </c>
    </row>
    <row r="52" spans="1:2">
      <c r="A52" s="4">
        <v>45323</v>
      </c>
      <c r="B52">
        <v>159</v>
      </c>
    </row>
    <row r="53" spans="1:2">
      <c r="A53" s="4">
        <v>45352</v>
      </c>
      <c r="B53">
        <v>222</v>
      </c>
    </row>
    <row r="54" spans="1:2">
      <c r="A54" s="4">
        <v>45383</v>
      </c>
      <c r="B54">
        <v>243</v>
      </c>
    </row>
    <row r="55" spans="1:2">
      <c r="A55" s="4">
        <v>45413</v>
      </c>
      <c r="B55">
        <v>302</v>
      </c>
    </row>
    <row r="56" spans="1:2">
      <c r="A56" s="4">
        <v>45444</v>
      </c>
      <c r="B56">
        <v>348</v>
      </c>
    </row>
    <row r="57" spans="1:2">
      <c r="A57" s="4">
        <v>45474</v>
      </c>
      <c r="B57">
        <v>351</v>
      </c>
    </row>
    <row r="58" spans="1:2">
      <c r="A58" s="4">
        <v>45505</v>
      </c>
      <c r="B58">
        <v>351</v>
      </c>
    </row>
    <row r="59" spans="1:2">
      <c r="A59" s="4">
        <v>45536</v>
      </c>
      <c r="B59">
        <v>487</v>
      </c>
    </row>
    <row r="60" spans="1:2">
      <c r="A60" s="4">
        <v>45566</v>
      </c>
      <c r="B60">
        <v>835</v>
      </c>
    </row>
    <row r="61" spans="1:2">
      <c r="A61" s="4">
        <v>45597</v>
      </c>
      <c r="B61">
        <v>392</v>
      </c>
    </row>
    <row r="62" spans="1:2">
      <c r="A62" s="4">
        <v>45627</v>
      </c>
      <c r="B62">
        <v>464</v>
      </c>
    </row>
    <row r="63" spans="1:2">
      <c r="A63" s="4">
        <v>45658</v>
      </c>
      <c r="B63">
        <v>329</v>
      </c>
    </row>
    <row r="64" spans="1:2">
      <c r="A64" s="4">
        <v>45689</v>
      </c>
      <c r="B64">
        <v>453</v>
      </c>
    </row>
    <row r="65" spans="1:2">
      <c r="A65" s="4">
        <v>45717</v>
      </c>
      <c r="B65">
        <v>305</v>
      </c>
    </row>
    <row r="66" spans="1:2">
      <c r="A66" s="4">
        <v>45748</v>
      </c>
      <c r="B66">
        <v>337</v>
      </c>
    </row>
    <row r="67" spans="1:2">
      <c r="A67" s="4">
        <v>45778</v>
      </c>
      <c r="B67">
        <v>347</v>
      </c>
    </row>
    <row r="68" spans="1:2">
      <c r="A68" s="4">
        <v>45809</v>
      </c>
      <c r="B68">
        <v>416</v>
      </c>
    </row>
    <row r="69" spans="1:2">
      <c r="A69" s="4">
        <v>45839</v>
      </c>
      <c r="B69">
        <v>410</v>
      </c>
    </row>
    <row r="70" spans="1:2">
      <c r="A70" s="4">
        <v>45870</v>
      </c>
      <c r="B70">
        <v>338</v>
      </c>
    </row>
    <row r="71" spans="1:2">
      <c r="A71" s="4">
        <v>45901</v>
      </c>
      <c r="B71">
        <v>376</v>
      </c>
    </row>
    <row r="72" spans="1:2">
      <c r="A72" s="4">
        <v>45931</v>
      </c>
      <c r="B72">
        <v>462</v>
      </c>
    </row>
    <row r="73" spans="1:2">
      <c r="A73" s="4">
        <v>45962</v>
      </c>
      <c r="B73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Intervención 1</vt:lpstr>
      <vt:lpstr>Intervención 1 - Anual</vt:lpstr>
      <vt:lpstr>Intervención 2</vt:lpstr>
      <vt:lpstr>Intervención 2 - MDH</vt:lpstr>
      <vt:lpstr>Intervención 3</vt:lpstr>
      <vt:lpstr>Intervención 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Paulo Alejandro Freire Gonzalez</dc:creator>
  <cp:keywords/>
  <dc:description/>
  <cp:lastModifiedBy>BCE</cp:lastModifiedBy>
  <cp:revision/>
  <dcterms:created xsi:type="dcterms:W3CDTF">2026-03-05T13:00:09Z</dcterms:created>
  <dcterms:modified xsi:type="dcterms:W3CDTF">2026-03-18T13:21:32Z</dcterms:modified>
  <cp:category/>
  <cp:contentStatus/>
</cp:coreProperties>
</file>